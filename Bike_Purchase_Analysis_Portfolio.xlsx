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habo\Downloads\"/>
    </mc:Choice>
  </mc:AlternateContent>
  <xr:revisionPtr revIDLastSave="0" documentId="8_{2959061B-0265-428B-B838-FD6E817AD39F}"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Dashboard" sheetId="2" r:id="rId2"/>
    <sheet name="Pivot Table" sheetId="3" r:id="rId3"/>
    <sheet name="Worksheet" sheetId="4" r:id="rId4"/>
  </sheets>
  <definedNames>
    <definedName name="_xlnm._FilterDatabase" localSheetId="0" hidden="1">bike_buyers!$A$1:$M$1001</definedName>
    <definedName name="_xlnm._FilterDatabase" localSheetId="3" hidden="1">Worksheet!$A$1:$O$1001</definedName>
    <definedName name="Slicer_Education">#N/A</definedName>
    <definedName name="Slicer_Marital_Status">#N/A</definedName>
    <definedName name="Slicer_Region">#N/A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<sst xmlns="http://schemas.openxmlformats.org/spreadsheetml/2006/main" count="16276" uniqueCount="52">
  <si>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</si>
  <si>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</si>
  <si>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</si>
  <si>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</si>
  <si>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</si>
  <si>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</si>
  <si>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</si>
  <si>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</si>
  <si>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</si>
  <si>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</si>
  <si>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</si>
  <si>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</si>
  <si>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</si>
  <si>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</si>
  <si>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</si>
  <si>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</si>
  <si>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</si>
  <si>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</si>
  <si>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</si>
  <si>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</si>
  <si>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</si>
  <si>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</si>
  <si>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</si>
  <si>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</si>
  <si>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</si>
  <si>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</si>
  <si>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</si>
  <si>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</si>
  <si>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</si>
  <si>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</si>
  <si>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</si>
  <si>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</si>
  <si>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</si>
  <si>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</si>
  <si>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</si>
  <si>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</si>
  <si>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</si>
  <si>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</si>
  <si>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</si>
  <si>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</si>
  <si>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</si>
  <si>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</si>
  <si>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</si>
  <si>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</si>
  <si>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</si>
  <si>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</si>
  <si>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Purchased Bike</t>
  </si>
  <si>
    <t>More than 10 Miles</t>
  </si>
  <si>
    <t>25–30</t>
  </si>
  <si>
    <t>Middle Age</t>
  </si>
  <si>
    <t>55+</t>
  </si>
  <si>
    <t>Bike Purchase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</si>
</sst>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quot;#,##0.00"/>
    <numFmt numFmtId="167"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p>
          <a:p>
            <a:pPr>
              <a:defRPr/>
            </a:pPr>
            <a:endParaRPr lang="en-ZA"/>
          </a:p>
        </c:rich>
      </c:tx>
      <c:layout>
        <c:manualLayout>
          <c:xMode val="edge"/>
          <c:yMode val="edge"/>
          <c:x val="0.339295871145258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2"/>
                <c:pt idx="0">
                  <c:v>Female</c:v>
                </c:pt>
                <c:pt idx="1">
                  <c:v>Male</c:v>
                </c:pt>
              </c:strCache>
            </c:strRef>
          </c:cat>
          <c:val>
            <c:numRef>
              <c:f>'Pivot Table'!$B$5:$B$6</c:f>
              <c:numCache>
                <c:formatCode>0.0</c:formatCode>
                <c:ptCount val="2"/>
                <c:pt idx="0">
                  <c:v>53440</c:v>
                </c:pt>
                <c:pt idx="1">
                  <c:v>56208.178438661707</c:v>
                </c:pt>
              </c:numCache>
            </c:numRef>
          </c:val>
          <c:extLst>
            <c:ext xmlns:c16="http://schemas.microsoft.com/office/drawing/2014/chart" uri="{C3380CC4-5D6E-409C-BE32-E72D297353CC}">
              <c16:uniqueId val="{00000000-FFB4-4382-B408-5234E11F4C6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2"/>
                <c:pt idx="0">
                  <c:v>Female</c:v>
                </c:pt>
                <c:pt idx="1">
                  <c:v>Male</c:v>
                </c:pt>
              </c:strCache>
            </c:strRef>
          </c:cat>
          <c:val>
            <c:numRef>
              <c:f>'Pivot Table'!$C$5:$C$6</c:f>
              <c:numCache>
                <c:formatCode>0.0</c:formatCode>
                <c:ptCount val="2"/>
                <c:pt idx="0">
                  <c:v>55774.058577405856</c:v>
                </c:pt>
                <c:pt idx="1">
                  <c:v>60123.966942148763</c:v>
                </c:pt>
              </c:numCache>
            </c:numRef>
          </c:val>
          <c:extLst>
            <c:ext xmlns:c16="http://schemas.microsoft.com/office/drawing/2014/chart" uri="{C3380CC4-5D6E-409C-BE32-E72D297353CC}">
              <c16:uniqueId val="{00000001-FFB4-4382-B408-5234E11F4C69}"/>
            </c:ext>
          </c:extLst>
        </c:ser>
        <c:dLbls>
          <c:showLegendKey val="0"/>
          <c:showVal val="0"/>
          <c:showCatName val="0"/>
          <c:showSerName val="0"/>
          <c:showPercent val="0"/>
          <c:showBubbleSize val="0"/>
        </c:dLbls>
        <c:gapWidth val="219"/>
        <c:overlap val="-27"/>
        <c:axId val="2067655680"/>
        <c:axId val="2070294816"/>
      </c:barChart>
      <c:catAx>
        <c:axId val="206765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94816"/>
        <c:crosses val="autoZero"/>
        <c:auto val="1"/>
        <c:lblAlgn val="ctr"/>
        <c:lblOffset val="100"/>
        <c:noMultiLvlLbl val="0"/>
      </c:catAx>
      <c:valAx>
        <c:axId val="207029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iIncome</a:t>
                </a:r>
              </a:p>
              <a:p>
                <a:pPr>
                  <a:defRPr/>
                </a:pP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Table'!$A$22:$A$26</c:f>
              <c:strCache>
                <c:ptCount val="5"/>
                <c:pt idx="0">
                  <c:v>0-1 Miles</c:v>
                </c:pt>
                <c:pt idx="1">
                  <c:v>1-2 Miles</c:v>
                </c:pt>
                <c:pt idx="2">
                  <c:v>2-5 Miles</c:v>
                </c:pt>
                <c:pt idx="3">
                  <c:v>5-10 Miles</c:v>
                </c:pt>
                <c:pt idx="4">
                  <c:v>More than 10 Miles</c:v>
                </c:pt>
              </c:strCache>
            </c:strRef>
          </c:cat>
          <c:val>
            <c:numRef>
              <c:f>'Pivot Table'!$B$22:$B$26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C4-4566-A8FC-DBC81960261D}"/>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Table'!$A$22:$A$26</c:f>
              <c:strCache>
                <c:ptCount val="5"/>
                <c:pt idx="0">
                  <c:v>0-1 Miles</c:v>
                </c:pt>
                <c:pt idx="1">
                  <c:v>1-2 Miles</c:v>
                </c:pt>
                <c:pt idx="2">
                  <c:v>2-5 Miles</c:v>
                </c:pt>
                <c:pt idx="3">
                  <c:v>5-10 Miles</c:v>
                </c:pt>
                <c:pt idx="4">
                  <c:v>More than 10 Miles</c:v>
                </c:pt>
              </c:strCache>
            </c:strRef>
          </c:cat>
          <c:val>
            <c:numRef>
              <c:f>'Pivot Table'!$C$22:$C$26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C4-4566-A8FC-DBC81960261D}"/>
            </c:ext>
          </c:extLst>
        </c:ser>
        <c:dLbls>
          <c:dLblPos val="ctr"/>
          <c:showLegendKey val="0"/>
          <c:showVal val="1"/>
          <c:showCatName val="0"/>
          <c:showSerName val="0"/>
          <c:showPercent val="0"/>
          <c:showBubbleSize val="0"/>
        </c:dLbls>
        <c:marker val="1"/>
        <c:smooth val="0"/>
        <c:axId val="2074257440"/>
        <c:axId val="2070295776"/>
      </c:lineChart>
      <c:catAx>
        <c:axId val="20742574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ZA"/>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0295776"/>
        <c:crosses val="autoZero"/>
        <c:auto val="1"/>
        <c:lblAlgn val="ctr"/>
        <c:lblOffset val="100"/>
        <c:noMultiLvlLbl val="0"/>
      </c:catAx>
      <c:valAx>
        <c:axId val="20702957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425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Table'!$A$47:$A$49</c:f>
              <c:strCache>
                <c:ptCount val="3"/>
                <c:pt idx="0">
                  <c:v>25–30</c:v>
                </c:pt>
                <c:pt idx="1">
                  <c:v>Middle Age</c:v>
                </c:pt>
                <c:pt idx="2">
                  <c:v>55+</c:v>
                </c:pt>
              </c:strCache>
            </c:strRef>
          </c:cat>
          <c:val>
            <c:numRef>
              <c:f>'Pivot Table'!$B$47:$B$49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8B4-4BE8-89DF-F6F365625D92}"/>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Table'!$A$47:$A$49</c:f>
              <c:strCache>
                <c:ptCount val="3"/>
                <c:pt idx="0">
                  <c:v>25–30</c:v>
                </c:pt>
                <c:pt idx="1">
                  <c:v>Middle Age</c:v>
                </c:pt>
                <c:pt idx="2">
                  <c:v>55+</c:v>
                </c:pt>
              </c:strCache>
            </c:strRef>
          </c:cat>
          <c:val>
            <c:numRef>
              <c:f>'Pivot Table'!$C$47:$C$49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8B4-4BE8-89DF-F6F365625D92}"/>
            </c:ext>
          </c:extLst>
        </c:ser>
        <c:dLbls>
          <c:showLegendKey val="0"/>
          <c:showVal val="0"/>
          <c:showCatName val="0"/>
          <c:showSerName val="0"/>
          <c:showPercent val="0"/>
          <c:showBubbleSize val="0"/>
        </c:dLbls>
        <c:smooth val="0"/>
        <c:axId val="2067677488"/>
        <c:axId val="2070312096"/>
      </c:lineChart>
      <c:catAx>
        <c:axId val="206767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12096"/>
        <c:crosses val="autoZero"/>
        <c:auto val="1"/>
        <c:lblAlgn val="ctr"/>
        <c:lblOffset val="100"/>
        <c:noMultiLvlLbl val="0"/>
      </c:catAx>
      <c:valAx>
        <c:axId val="207031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7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c:formatCode>
                <c:ptCount val="2"/>
                <c:pt idx="0">
                  <c:v>53440</c:v>
                </c:pt>
                <c:pt idx="1">
                  <c:v>56208.178438661707</c:v>
                </c:pt>
              </c:numCache>
            </c:numRef>
          </c:val>
          <c:extLst>
            <c:ext xmlns:c16="http://schemas.microsoft.com/office/drawing/2014/chart" uri="{C3380CC4-5D6E-409C-BE32-E72D297353CC}">
              <c16:uniqueId val="{00000000-5AAC-4298-B0FC-EEBC05EE1E8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c:formatCode>
                <c:ptCount val="2"/>
                <c:pt idx="0">
                  <c:v>55774.058577405856</c:v>
                </c:pt>
                <c:pt idx="1">
                  <c:v>60123.966942148763</c:v>
                </c:pt>
              </c:numCache>
            </c:numRef>
          </c:val>
          <c:extLst>
            <c:ext xmlns:c16="http://schemas.microsoft.com/office/drawing/2014/chart" uri="{C3380CC4-5D6E-409C-BE32-E72D297353CC}">
              <c16:uniqueId val="{00000001-5AAC-4298-B0FC-EEBC05EE1E8D}"/>
            </c:ext>
          </c:extLst>
        </c:ser>
        <c:dLbls>
          <c:showLegendKey val="0"/>
          <c:showVal val="0"/>
          <c:showCatName val="0"/>
          <c:showSerName val="0"/>
          <c:showPercent val="0"/>
          <c:showBubbleSize val="0"/>
        </c:dLbls>
        <c:gapWidth val="219"/>
        <c:overlap val="-27"/>
        <c:axId val="2067655680"/>
        <c:axId val="2070294816"/>
      </c:barChart>
      <c:catAx>
        <c:axId val="206765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94816"/>
        <c:crosses val="autoZero"/>
        <c:auto val="1"/>
        <c:lblAlgn val="ctr"/>
        <c:lblOffset val="100"/>
        <c:noMultiLvlLbl val="0"/>
      </c:catAx>
      <c:valAx>
        <c:axId val="207029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iIncome</a:t>
                </a:r>
              </a:p>
              <a:p>
                <a:pPr>
                  <a:defRPr/>
                </a:pP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35-482F-9E1E-A786BA50D92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35-482F-9E1E-A786BA50D923}"/>
            </c:ext>
          </c:extLst>
        </c:ser>
        <c:dLbls>
          <c:showLegendKey val="0"/>
          <c:showVal val="0"/>
          <c:showCatName val="0"/>
          <c:showSerName val="0"/>
          <c:showPercent val="0"/>
          <c:showBubbleSize val="0"/>
        </c:dLbls>
        <c:smooth val="0"/>
        <c:axId val="2074257440"/>
        <c:axId val="2070295776"/>
      </c:lineChart>
      <c:catAx>
        <c:axId val="207425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95776"/>
        <c:crosses val="autoZero"/>
        <c:auto val="1"/>
        <c:lblAlgn val="ctr"/>
        <c:lblOffset val="100"/>
        <c:noMultiLvlLbl val="0"/>
      </c:catAx>
      <c:valAx>
        <c:axId val="207029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5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D75-4706-94AD-2927242182D2}"/>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D75-4706-94AD-2927242182D2}"/>
            </c:ext>
          </c:extLst>
        </c:ser>
        <c:dLbls>
          <c:showLegendKey val="0"/>
          <c:showVal val="0"/>
          <c:showCatName val="0"/>
          <c:showSerName val="0"/>
          <c:showPercent val="0"/>
          <c:showBubbleSize val="0"/>
        </c:dLbls>
        <c:smooth val="0"/>
        <c:axId val="2067677488"/>
        <c:axId val="2070312096"/>
      </c:lineChart>
      <c:catAx>
        <c:axId val="206767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12096"/>
        <c:crosses val="autoZero"/>
        <c:auto val="1"/>
        <c:lblAlgn val="ctr"/>
        <c:lblOffset val="100"/>
        <c:noMultiLvlLbl val="0"/>
      </c:catAx>
      <c:valAx>
        <c:axId val="207031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7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my own version.xlsx]Pivot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Table'!$B$70:$B$123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CE6-493F-B07C-E206787C52C3}"/>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Table'!$C$70:$C$123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CE6-493F-B07C-E206787C52C3}"/>
            </c:ext>
          </c:extLst>
        </c:ser>
        <c:dLbls>
          <c:showLegendKey val="0"/>
          <c:showVal val="0"/>
          <c:showCatName val="0"/>
          <c:showSerName val="0"/>
          <c:showPercent val="0"/>
          <c:showBubbleSize val="0"/>
        </c:dLbls>
        <c:marker val="1"/>
        <c:smooth val="0"/>
        <c:axId val="166061328"/>
        <c:axId val="2070310176"/>
      </c:lineChart>
      <c:catAx>
        <c:axId val="1660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10176"/>
        <c:crosses val="autoZero"/>
        <c:auto val="1"/>
        <c:lblAlgn val="ctr"/>
        <c:lblOffset val="100"/>
        <c:noMultiLvlLbl val="0"/>
      </c:catAx>
      <c:valAx>
        <c:axId val="207031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6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23813</xdr:colOff>
      <xdr:row>6</xdr:row>
      <xdr:rowOff>11906</xdr:rowOff>
    </xdr:from>
    <xdr:to>
      <xdr:col>9</xdr:col>
      <xdr:colOff>59532</xdr:colOff>
      <xdr:row>20</xdr:row>
      <xdr:rowOff>88106</xdr:rowOff>
    </xdr:to>
    <xdr:graphicFrame macro="">
      <xdr:nvGraphicFramePr>
        <xdr:cNvPr id="2" name="Chart 1">
          <a:extLst>
            <a:ext uri="{FF2B5EF4-FFF2-40B4-BE49-F238E27FC236}">
              <a16:creationId xmlns:a16="http://schemas.microsoft.com/office/drawing/2014/main" id="{B6A1D6D5-7CD4-4A9D-8D2D-C9AF2BEFA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29158</xdr:colOff>
      <xdr:row>20</xdr:row>
      <xdr:rowOff>95251</xdr:rowOff>
    </xdr:from>
    <xdr:to>
      <xdr:col>15</xdr:col>
      <xdr:colOff>0</xdr:colOff>
      <xdr:row>34</xdr:row>
      <xdr:rowOff>171450</xdr:rowOff>
    </xdr:to>
    <xdr:graphicFrame macro="">
      <xdr:nvGraphicFramePr>
        <xdr:cNvPr id="3" name="Chart 2">
          <a:extLst>
            <a:ext uri="{FF2B5EF4-FFF2-40B4-BE49-F238E27FC236}">
              <a16:creationId xmlns:a16="http://schemas.microsoft.com/office/drawing/2014/main" id="{6BB7E290-C13E-408B-8A1B-D78CADFDA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71437</xdr:colOff>
      <xdr:row>6</xdr:row>
      <xdr:rowOff>11906</xdr:rowOff>
    </xdr:from>
    <xdr:to>
      <xdr:col>15</xdr:col>
      <xdr:colOff>0</xdr:colOff>
      <xdr:row>20</xdr:row>
      <xdr:rowOff>88106</xdr:rowOff>
    </xdr:to>
    <xdr:graphicFrame macro="">
      <xdr:nvGraphicFramePr>
        <xdr:cNvPr id="4" name="Chart 3">
          <a:extLst>
            <a:ext uri="{FF2B5EF4-FFF2-40B4-BE49-F238E27FC236}">
              <a16:creationId xmlns:a16="http://schemas.microsoft.com/office/drawing/2014/main" id="{352198AE-0414-4FA9-BFA0-4B5057CF8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27991</xdr:colOff>
      <xdr:row>6</xdr:row>
      <xdr:rowOff>18467</xdr:rowOff>
    </xdr:from>
    <xdr:to>
      <xdr:col>3</xdr:col>
      <xdr:colOff>19827</xdr:colOff>
      <xdr:row>10</xdr:row>
      <xdr:rowOff>136072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3E6F407-8263-9EA7-7F73-ECF357FB0A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7991" y="1184794"/>
              <a:ext cx="1828800" cy="89515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32851</xdr:colOff>
      <xdr:row>17</xdr:row>
      <xdr:rowOff>1944</xdr:rowOff>
    </xdr:from>
    <xdr:to>
      <xdr:col>3</xdr:col>
      <xdr:colOff>24687</xdr:colOff>
      <xdr:row>26</xdr:row>
      <xdr:rowOff>48598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1F90D21-C5A6-E3C9-E148-2D49C78A2F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851" y="3306536"/>
              <a:ext cx="1828800" cy="179614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32851</xdr:colOff>
      <xdr:row>10</xdr:row>
      <xdr:rowOff>138015</xdr:rowOff>
    </xdr:from>
    <xdr:to>
      <xdr:col>3</xdr:col>
      <xdr:colOff>24687</xdr:colOff>
      <xdr:row>16</xdr:row>
      <xdr:rowOff>184669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7A84783-E468-0547-EC5D-EE62BEC87D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851" y="2081893"/>
              <a:ext cx="1828800" cy="12129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142875</xdr:colOff>
      <xdr:row>4</xdr:row>
      <xdr:rowOff>128587</xdr:rowOff>
    </xdr:from>
    <xdr:to>
      <xdr:col>12</xdr:col>
      <xdr:colOff>447675</xdr:colOff>
      <xdr:row>19</xdr:row>
      <xdr:rowOff>14287</xdr:rowOff>
    </xdr:to>
    <xdr:graphicFrame macro="">
      <xdr:nvGraphicFramePr>
        <xdr:cNvPr id="2" name="Chart 1">
          <a:extLst>
            <a:ext uri="{FF2B5EF4-FFF2-40B4-BE49-F238E27FC236}">
              <a16:creationId xmlns:a16="http://schemas.microsoft.com/office/drawing/2014/main" id="{BECA9097-C867-A219-5E24-E323F870D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20</xdr:row>
      <xdr:rowOff>157162</xdr:rowOff>
    </xdr:from>
    <xdr:to>
      <xdr:col>12</xdr:col>
      <xdr:colOff>209550</xdr:colOff>
      <xdr:row>35</xdr:row>
      <xdr:rowOff>42862</xdr:rowOff>
    </xdr:to>
    <xdr:graphicFrame macro="">
      <xdr:nvGraphicFramePr>
        <xdr:cNvPr id="3" name="Chart 2">
          <a:extLst>
            <a:ext uri="{FF2B5EF4-FFF2-40B4-BE49-F238E27FC236}">
              <a16:creationId xmlns:a16="http://schemas.microsoft.com/office/drawing/2014/main" id="{ADF46150-C797-508D-42C9-FA8489DC4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45</xdr:row>
      <xdr:rowOff>90487</xdr:rowOff>
    </xdr:from>
    <xdr:to>
      <xdr:col>12</xdr:col>
      <xdr:colOff>228600</xdr:colOff>
      <xdr:row>59</xdr:row>
      <xdr:rowOff>166687</xdr:rowOff>
    </xdr:to>
    <xdr:graphicFrame macro="">
      <xdr:nvGraphicFramePr>
        <xdr:cNvPr id="4" name="Chart 3">
          <a:extLst>
            <a:ext uri="{FF2B5EF4-FFF2-40B4-BE49-F238E27FC236}">
              <a16:creationId xmlns:a16="http://schemas.microsoft.com/office/drawing/2014/main" id="{5AF0766C-CB25-0368-3205-F350CC3EB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70</xdr:row>
      <xdr:rowOff>157162</xdr:rowOff>
    </xdr:from>
    <xdr:to>
      <xdr:col>13</xdr:col>
      <xdr:colOff>238125</xdr:colOff>
      <xdr:row>87</xdr:row>
      <xdr:rowOff>38100</xdr:rowOff>
    </xdr:to>
    <xdr:graphicFrame macro="">
      <xdr:nvGraphicFramePr>
        <xdr:cNvPr id="5" name="Chart 4">
          <a:extLst>
            <a:ext uri="{FF2B5EF4-FFF2-40B4-BE49-F238E27FC236}">
              <a16:creationId xmlns:a16="http://schemas.microsoft.com/office/drawing/2014/main" id="{8A810B99-F398-1171-1061-11BB5B2CD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bo Dlana Ncube" refreshedDate="46235.645732407407" createdVersion="8" refreshedVersion="8" minRefreshableVersion="3" recordCount="1000" xr:uid="{EA707013-6EF3-44F3-9771-B16BC0E7E165}">
  <cacheSource type="worksheet">
    <worksheetSource ref="A1:O1001" sheet="Work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55+"/>
        <s v="25–30"/>
        <s v="Middle Age 31-54" u="1"/>
        <s v="Old 55+" u="1"/>
        <s v="Adolescent 0-30" u="1"/>
      </sharedItems>
    </cacheField>
    <cacheField name="Purchased Bike" numFmtId="0">
      <sharedItems count="2">
        <s v="No"/>
        <s v="Yes"/>
      </sharedItems>
    </cacheField>
    <cacheField name="Field15" caption="Field15" numFmtId="0">
      <sharedItems containsBlank="1"/>
    </cacheField>
  </cacheFields>
  <extLst>
    <ext xmlns:x14="http://schemas.microsoft.com/office/spreadsheetml/2009/9/main" uri="{725AE2AE-9491-48be-B2B4-4EB974FC3084}">
      <x14:pivotCacheDefinition pivotCacheId="148579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m/>
  </r>
  <r>
    <n v="24107"/>
    <x v="0"/>
    <x v="1"/>
    <n v="30000"/>
    <n v="3"/>
    <x v="1"/>
    <s v="Clerical"/>
    <s v="Yes"/>
    <n v="1"/>
    <x v="0"/>
    <x v="0"/>
    <x v="1"/>
    <x v="0"/>
    <x v="0"/>
    <m/>
  </r>
  <r>
    <n v="14177"/>
    <x v="0"/>
    <x v="1"/>
    <n v="80000"/>
    <n v="5"/>
    <x v="1"/>
    <s v="Professional"/>
    <s v="No"/>
    <n v="2"/>
    <x v="1"/>
    <x v="0"/>
    <x v="2"/>
    <x v="1"/>
    <x v="0"/>
    <m/>
  </r>
  <r>
    <n v="24381"/>
    <x v="1"/>
    <x v="1"/>
    <n v="70000"/>
    <n v="0"/>
    <x v="0"/>
    <s v="Professional"/>
    <s v="Yes"/>
    <n v="1"/>
    <x v="2"/>
    <x v="1"/>
    <x v="3"/>
    <x v="0"/>
    <x v="1"/>
    <s v=" "/>
  </r>
  <r>
    <n v="25597"/>
    <x v="1"/>
    <x v="1"/>
    <n v="30000"/>
    <n v="0"/>
    <x v="0"/>
    <s v="Clerical"/>
    <s v="No"/>
    <n v="0"/>
    <x v="0"/>
    <x v="0"/>
    <x v="4"/>
    <x v="0"/>
    <x v="1"/>
    <m/>
  </r>
  <r>
    <n v="13507"/>
    <x v="0"/>
    <x v="0"/>
    <n v="10000"/>
    <n v="2"/>
    <x v="1"/>
    <s v="Manual"/>
    <s v="Yes"/>
    <n v="0"/>
    <x v="3"/>
    <x v="0"/>
    <x v="5"/>
    <x v="0"/>
    <x v="0"/>
    <m/>
  </r>
  <r>
    <n v="27974"/>
    <x v="1"/>
    <x v="1"/>
    <n v="160000"/>
    <n v="2"/>
    <x v="2"/>
    <s v="Management"/>
    <s v="Yes"/>
    <n v="4"/>
    <x v="0"/>
    <x v="1"/>
    <x v="6"/>
    <x v="0"/>
    <x v="1"/>
    <m/>
  </r>
  <r>
    <n v="19364"/>
    <x v="0"/>
    <x v="1"/>
    <n v="40000"/>
    <n v="1"/>
    <x v="0"/>
    <s v="Skilled Manual"/>
    <s v="Yes"/>
    <n v="0"/>
    <x v="0"/>
    <x v="0"/>
    <x v="1"/>
    <x v="0"/>
    <x v="1"/>
    <m/>
  </r>
  <r>
    <n v="22155"/>
    <x v="0"/>
    <x v="1"/>
    <n v="20000"/>
    <n v="2"/>
    <x v="3"/>
    <s v="Clerical"/>
    <s v="Yes"/>
    <n v="2"/>
    <x v="2"/>
    <x v="1"/>
    <x v="7"/>
    <x v="1"/>
    <x v="0"/>
    <m/>
  </r>
  <r>
    <n v="19280"/>
    <x v="0"/>
    <x v="1"/>
    <n v="120000"/>
    <n v="2"/>
    <x v="1"/>
    <s v="Manual"/>
    <s v="Yes"/>
    <n v="1"/>
    <x v="0"/>
    <x v="0"/>
    <x v="8"/>
    <x v="0"/>
    <x v="1"/>
    <m/>
  </r>
  <r>
    <n v="22173"/>
    <x v="0"/>
    <x v="0"/>
    <n v="30000"/>
    <n v="3"/>
    <x v="2"/>
    <s v="Skilled Manual"/>
    <s v="No"/>
    <n v="2"/>
    <x v="3"/>
    <x v="1"/>
    <x v="9"/>
    <x v="0"/>
    <x v="1"/>
    <m/>
  </r>
  <r>
    <n v="12697"/>
    <x v="1"/>
    <x v="0"/>
    <n v="90000"/>
    <n v="0"/>
    <x v="0"/>
    <s v="Professional"/>
    <s v="No"/>
    <n v="4"/>
    <x v="4"/>
    <x v="1"/>
    <x v="4"/>
    <x v="0"/>
    <x v="0"/>
    <m/>
  </r>
  <r>
    <n v="11434"/>
    <x v="0"/>
    <x v="1"/>
    <n v="170000"/>
    <n v="5"/>
    <x v="1"/>
    <s v="Professional"/>
    <s v="Yes"/>
    <n v="0"/>
    <x v="0"/>
    <x v="0"/>
    <x v="10"/>
    <x v="1"/>
    <x v="0"/>
    <m/>
  </r>
  <r>
    <n v="25323"/>
    <x v="0"/>
    <x v="1"/>
    <n v="40000"/>
    <n v="2"/>
    <x v="1"/>
    <s v="Clerical"/>
    <s v="Yes"/>
    <n v="1"/>
    <x v="3"/>
    <x v="0"/>
    <x v="11"/>
    <x v="0"/>
    <x v="1"/>
    <m/>
  </r>
  <r>
    <n v="23542"/>
    <x v="1"/>
    <x v="1"/>
    <n v="60000"/>
    <n v="1"/>
    <x v="1"/>
    <s v="Skilled Manual"/>
    <s v="No"/>
    <n v="1"/>
    <x v="0"/>
    <x v="1"/>
    <x v="12"/>
    <x v="0"/>
    <x v="1"/>
    <m/>
  </r>
  <r>
    <n v="20870"/>
    <x v="1"/>
    <x v="0"/>
    <n v="10000"/>
    <n v="2"/>
    <x v="2"/>
    <s v="Manual"/>
    <s v="Yes"/>
    <n v="1"/>
    <x v="0"/>
    <x v="0"/>
    <x v="13"/>
    <x v="0"/>
    <x v="1"/>
    <m/>
  </r>
  <r>
    <n v="23316"/>
    <x v="1"/>
    <x v="1"/>
    <n v="30000"/>
    <n v="3"/>
    <x v="1"/>
    <s v="Clerical"/>
    <s v="No"/>
    <n v="2"/>
    <x v="3"/>
    <x v="1"/>
    <x v="14"/>
    <x v="1"/>
    <x v="1"/>
    <m/>
  </r>
  <r>
    <n v="12610"/>
    <x v="0"/>
    <x v="0"/>
    <n v="30000"/>
    <n v="1"/>
    <x v="0"/>
    <s v="Clerical"/>
    <s v="Yes"/>
    <n v="0"/>
    <x v="0"/>
    <x v="0"/>
    <x v="15"/>
    <x v="0"/>
    <x v="0"/>
    <m/>
  </r>
  <r>
    <n v="27183"/>
    <x v="1"/>
    <x v="1"/>
    <n v="40000"/>
    <n v="2"/>
    <x v="1"/>
    <s v="Clerical"/>
    <s v="Yes"/>
    <n v="1"/>
    <x v="3"/>
    <x v="0"/>
    <x v="11"/>
    <x v="0"/>
    <x v="1"/>
    <m/>
  </r>
  <r>
    <n v="25940"/>
    <x v="1"/>
    <x v="1"/>
    <n v="20000"/>
    <n v="2"/>
    <x v="3"/>
    <s v="Clerical"/>
    <s v="Yes"/>
    <n v="2"/>
    <x v="2"/>
    <x v="1"/>
    <x v="10"/>
    <x v="1"/>
    <x v="1"/>
    <m/>
  </r>
  <r>
    <n v="25598"/>
    <x v="0"/>
    <x v="0"/>
    <n v="40000"/>
    <n v="0"/>
    <x v="4"/>
    <s v="Clerical"/>
    <s v="Yes"/>
    <n v="0"/>
    <x v="0"/>
    <x v="0"/>
    <x v="4"/>
    <x v="0"/>
    <x v="1"/>
    <m/>
  </r>
  <r>
    <n v="21564"/>
    <x v="1"/>
    <x v="0"/>
    <n v="80000"/>
    <n v="0"/>
    <x v="0"/>
    <s v="Professional"/>
    <s v="Yes"/>
    <n v="4"/>
    <x v="4"/>
    <x v="1"/>
    <x v="11"/>
    <x v="0"/>
    <x v="0"/>
    <m/>
  </r>
  <r>
    <n v="19193"/>
    <x v="1"/>
    <x v="1"/>
    <n v="40000"/>
    <n v="2"/>
    <x v="1"/>
    <s v="Clerical"/>
    <s v="Yes"/>
    <n v="0"/>
    <x v="3"/>
    <x v="0"/>
    <x v="11"/>
    <x v="0"/>
    <x v="1"/>
    <m/>
  </r>
  <r>
    <n v="26412"/>
    <x v="0"/>
    <x v="0"/>
    <n v="80000"/>
    <n v="5"/>
    <x v="2"/>
    <s v="Management"/>
    <s v="No"/>
    <n v="3"/>
    <x v="2"/>
    <x v="0"/>
    <x v="16"/>
    <x v="1"/>
    <x v="0"/>
    <m/>
  </r>
  <r>
    <n v="27184"/>
    <x v="1"/>
    <x v="1"/>
    <n v="40000"/>
    <n v="2"/>
    <x v="1"/>
    <s v="Clerical"/>
    <s v="No"/>
    <n v="1"/>
    <x v="0"/>
    <x v="0"/>
    <x v="17"/>
    <x v="0"/>
    <x v="0"/>
    <m/>
  </r>
  <r>
    <n v="12590"/>
    <x v="1"/>
    <x v="1"/>
    <n v="30000"/>
    <n v="1"/>
    <x v="0"/>
    <s v="Clerical"/>
    <s v="Yes"/>
    <n v="0"/>
    <x v="0"/>
    <x v="0"/>
    <x v="18"/>
    <x v="1"/>
    <x v="0"/>
    <m/>
  </r>
  <r>
    <n v="17841"/>
    <x v="1"/>
    <x v="1"/>
    <n v="30000"/>
    <n v="0"/>
    <x v="1"/>
    <s v="Clerical"/>
    <s v="No"/>
    <n v="1"/>
    <x v="0"/>
    <x v="0"/>
    <x v="19"/>
    <x v="2"/>
    <x v="1"/>
    <m/>
  </r>
  <r>
    <n v="18283"/>
    <x v="1"/>
    <x v="0"/>
    <n v="100000"/>
    <n v="0"/>
    <x v="0"/>
    <s v="Professional"/>
    <s v="No"/>
    <n v="1"/>
    <x v="2"/>
    <x v="1"/>
    <x v="8"/>
    <x v="0"/>
    <x v="0"/>
    <m/>
  </r>
  <r>
    <n v="18299"/>
    <x v="0"/>
    <x v="1"/>
    <n v="70000"/>
    <n v="5"/>
    <x v="1"/>
    <s v="Skilled Manual"/>
    <s v="Yes"/>
    <n v="2"/>
    <x v="2"/>
    <x v="1"/>
    <x v="20"/>
    <x v="0"/>
    <x v="0"/>
    <m/>
  </r>
  <r>
    <n v="16466"/>
    <x v="1"/>
    <x v="0"/>
    <n v="20000"/>
    <n v="0"/>
    <x v="3"/>
    <s v="Manual"/>
    <s v="No"/>
    <n v="2"/>
    <x v="0"/>
    <x v="0"/>
    <x v="21"/>
    <x v="0"/>
    <x v="1"/>
    <m/>
  </r>
  <r>
    <n v="19273"/>
    <x v="0"/>
    <x v="0"/>
    <n v="20000"/>
    <n v="2"/>
    <x v="1"/>
    <s v="Manual"/>
    <s v="Yes"/>
    <n v="0"/>
    <x v="0"/>
    <x v="0"/>
    <x v="18"/>
    <x v="1"/>
    <x v="0"/>
    <m/>
  </r>
  <r>
    <n v="22400"/>
    <x v="0"/>
    <x v="1"/>
    <n v="10000"/>
    <n v="0"/>
    <x v="1"/>
    <s v="Manual"/>
    <s v="No"/>
    <n v="1"/>
    <x v="0"/>
    <x v="1"/>
    <x v="22"/>
    <x v="2"/>
    <x v="1"/>
    <m/>
  </r>
  <r>
    <n v="20942"/>
    <x v="1"/>
    <x v="0"/>
    <n v="20000"/>
    <n v="0"/>
    <x v="2"/>
    <s v="Manual"/>
    <s v="No"/>
    <n v="1"/>
    <x v="2"/>
    <x v="0"/>
    <x v="23"/>
    <x v="0"/>
    <x v="0"/>
    <m/>
  </r>
  <r>
    <n v="18484"/>
    <x v="1"/>
    <x v="1"/>
    <n v="80000"/>
    <n v="2"/>
    <x v="2"/>
    <s v="Skilled Manual"/>
    <s v="No"/>
    <n v="2"/>
    <x v="3"/>
    <x v="1"/>
    <x v="5"/>
    <x v="0"/>
    <x v="1"/>
    <m/>
  </r>
  <r>
    <n v="12291"/>
    <x v="1"/>
    <x v="1"/>
    <n v="90000"/>
    <n v="5"/>
    <x v="1"/>
    <s v="Professional"/>
    <s v="No"/>
    <n v="2"/>
    <x v="1"/>
    <x v="0"/>
    <x v="24"/>
    <x v="1"/>
    <x v="1"/>
    <m/>
  </r>
  <r>
    <n v="28380"/>
    <x v="1"/>
    <x v="0"/>
    <n v="10000"/>
    <n v="5"/>
    <x v="3"/>
    <s v="Manual"/>
    <s v="No"/>
    <n v="2"/>
    <x v="0"/>
    <x v="0"/>
    <x v="3"/>
    <x v="0"/>
    <x v="0"/>
    <m/>
  </r>
  <r>
    <n v="17891"/>
    <x v="0"/>
    <x v="0"/>
    <n v="10000"/>
    <n v="2"/>
    <x v="1"/>
    <s v="Manual"/>
    <s v="Yes"/>
    <n v="1"/>
    <x v="0"/>
    <x v="0"/>
    <x v="5"/>
    <x v="0"/>
    <x v="1"/>
    <m/>
  </r>
  <r>
    <n v="27832"/>
    <x v="1"/>
    <x v="0"/>
    <n v="30000"/>
    <n v="0"/>
    <x v="1"/>
    <s v="Clerical"/>
    <s v="No"/>
    <n v="1"/>
    <x v="1"/>
    <x v="0"/>
    <x v="25"/>
    <x v="2"/>
    <x v="0"/>
    <m/>
  </r>
  <r>
    <n v="26863"/>
    <x v="1"/>
    <x v="1"/>
    <n v="20000"/>
    <n v="0"/>
    <x v="2"/>
    <s v="Manual"/>
    <s v="No"/>
    <n v="1"/>
    <x v="1"/>
    <x v="0"/>
    <x v="26"/>
    <x v="2"/>
    <x v="0"/>
    <m/>
  </r>
  <r>
    <n v="16259"/>
    <x v="1"/>
    <x v="0"/>
    <n v="10000"/>
    <n v="4"/>
    <x v="3"/>
    <s v="Manual"/>
    <s v="Yes"/>
    <n v="2"/>
    <x v="0"/>
    <x v="0"/>
    <x v="8"/>
    <x v="0"/>
    <x v="1"/>
    <m/>
  </r>
  <r>
    <n v="27803"/>
    <x v="1"/>
    <x v="0"/>
    <n v="30000"/>
    <n v="2"/>
    <x v="1"/>
    <s v="Clerical"/>
    <s v="No"/>
    <n v="0"/>
    <x v="0"/>
    <x v="0"/>
    <x v="1"/>
    <x v="0"/>
    <x v="0"/>
    <m/>
  </r>
  <r>
    <n v="14347"/>
    <x v="1"/>
    <x v="0"/>
    <n v="40000"/>
    <n v="2"/>
    <x v="0"/>
    <s v="Management"/>
    <s v="Yes"/>
    <n v="2"/>
    <x v="2"/>
    <x v="1"/>
    <x v="27"/>
    <x v="1"/>
    <x v="1"/>
    <m/>
  </r>
  <r>
    <n v="17703"/>
    <x v="0"/>
    <x v="0"/>
    <n v="10000"/>
    <n v="1"/>
    <x v="4"/>
    <s v="Manual"/>
    <s v="Yes"/>
    <n v="0"/>
    <x v="0"/>
    <x v="0"/>
    <x v="8"/>
    <x v="0"/>
    <x v="0"/>
    <m/>
  </r>
  <r>
    <n v="17185"/>
    <x v="0"/>
    <x v="0"/>
    <n v="170000"/>
    <n v="4"/>
    <x v="1"/>
    <s v="Professional"/>
    <s v="No"/>
    <n v="3"/>
    <x v="2"/>
    <x v="0"/>
    <x v="28"/>
    <x v="0"/>
    <x v="1"/>
    <m/>
  </r>
  <r>
    <n v="29380"/>
    <x v="0"/>
    <x v="0"/>
    <n v="20000"/>
    <n v="3"/>
    <x v="2"/>
    <s v="Manual"/>
    <s v="Yes"/>
    <n v="0"/>
    <x v="0"/>
    <x v="0"/>
    <x v="3"/>
    <x v="0"/>
    <x v="1"/>
    <m/>
  </r>
  <r>
    <n v="23986"/>
    <x v="0"/>
    <x v="0"/>
    <n v="20000"/>
    <n v="1"/>
    <x v="0"/>
    <s v="Clerical"/>
    <s v="Yes"/>
    <n v="0"/>
    <x v="0"/>
    <x v="0"/>
    <x v="29"/>
    <x v="1"/>
    <x v="1"/>
    <m/>
  </r>
  <r>
    <n v="24466"/>
    <x v="0"/>
    <x v="0"/>
    <n v="60000"/>
    <n v="1"/>
    <x v="1"/>
    <s v="Skilled Manual"/>
    <s v="Yes"/>
    <n v="1"/>
    <x v="2"/>
    <x v="1"/>
    <x v="30"/>
    <x v="0"/>
    <x v="1"/>
    <m/>
  </r>
  <r>
    <n v="29097"/>
    <x v="1"/>
    <x v="0"/>
    <n v="40000"/>
    <n v="2"/>
    <x v="1"/>
    <s v="Skilled Manual"/>
    <s v="Yes"/>
    <n v="2"/>
    <x v="2"/>
    <x v="1"/>
    <x v="31"/>
    <x v="0"/>
    <x v="1"/>
    <m/>
  </r>
  <r>
    <n v="19487"/>
    <x v="0"/>
    <x v="1"/>
    <n v="30000"/>
    <n v="2"/>
    <x v="1"/>
    <s v="Clerical"/>
    <s v="No"/>
    <n v="2"/>
    <x v="0"/>
    <x v="0"/>
    <x v="0"/>
    <x v="0"/>
    <x v="0"/>
    <m/>
  </r>
  <r>
    <n v="14939"/>
    <x v="1"/>
    <x v="1"/>
    <n v="40000"/>
    <n v="0"/>
    <x v="0"/>
    <s v="Clerical"/>
    <s v="Yes"/>
    <n v="0"/>
    <x v="0"/>
    <x v="0"/>
    <x v="32"/>
    <x v="0"/>
    <x v="1"/>
    <m/>
  </r>
  <r>
    <n v="13826"/>
    <x v="1"/>
    <x v="0"/>
    <n v="30000"/>
    <n v="0"/>
    <x v="1"/>
    <s v="Clerical"/>
    <s v="No"/>
    <n v="1"/>
    <x v="0"/>
    <x v="0"/>
    <x v="26"/>
    <x v="2"/>
    <x v="0"/>
    <m/>
  </r>
  <r>
    <n v="20619"/>
    <x v="1"/>
    <x v="1"/>
    <n v="80000"/>
    <n v="0"/>
    <x v="0"/>
    <s v="Professional"/>
    <s v="No"/>
    <n v="4"/>
    <x v="4"/>
    <x v="1"/>
    <x v="11"/>
    <x v="0"/>
    <x v="0"/>
    <m/>
  </r>
  <r>
    <n v="12558"/>
    <x v="0"/>
    <x v="0"/>
    <n v="20000"/>
    <n v="1"/>
    <x v="0"/>
    <s v="Clerical"/>
    <s v="Yes"/>
    <n v="0"/>
    <x v="0"/>
    <x v="0"/>
    <x v="27"/>
    <x v="1"/>
    <x v="0"/>
    <m/>
  </r>
  <r>
    <n v="24871"/>
    <x v="1"/>
    <x v="0"/>
    <n v="90000"/>
    <n v="4"/>
    <x v="2"/>
    <s v="Management"/>
    <s v="No"/>
    <n v="3"/>
    <x v="2"/>
    <x v="0"/>
    <x v="16"/>
    <x v="1"/>
    <x v="0"/>
    <m/>
  </r>
  <r>
    <n v="17319"/>
    <x v="1"/>
    <x v="0"/>
    <n v="70000"/>
    <n v="0"/>
    <x v="0"/>
    <s v="Professional"/>
    <s v="No"/>
    <n v="1"/>
    <x v="2"/>
    <x v="1"/>
    <x v="0"/>
    <x v="0"/>
    <x v="0"/>
    <m/>
  </r>
  <r>
    <n v="28906"/>
    <x v="0"/>
    <x v="1"/>
    <n v="80000"/>
    <n v="4"/>
    <x v="2"/>
    <s v="Professional"/>
    <s v="Yes"/>
    <n v="2"/>
    <x v="4"/>
    <x v="0"/>
    <x v="9"/>
    <x v="0"/>
    <x v="0"/>
    <m/>
  </r>
  <r>
    <n v="12808"/>
    <x v="0"/>
    <x v="1"/>
    <n v="40000"/>
    <n v="0"/>
    <x v="0"/>
    <s v="Clerical"/>
    <s v="Yes"/>
    <n v="0"/>
    <x v="0"/>
    <x v="0"/>
    <x v="13"/>
    <x v="0"/>
    <x v="1"/>
    <m/>
  </r>
  <r>
    <n v="20567"/>
    <x v="0"/>
    <x v="1"/>
    <n v="130000"/>
    <n v="4"/>
    <x v="1"/>
    <s v="Professional"/>
    <s v="No"/>
    <n v="4"/>
    <x v="2"/>
    <x v="0"/>
    <x v="33"/>
    <x v="1"/>
    <x v="1"/>
    <m/>
  </r>
  <r>
    <n v="25502"/>
    <x v="0"/>
    <x v="0"/>
    <n v="40000"/>
    <n v="1"/>
    <x v="0"/>
    <s v="Skilled Manual"/>
    <s v="Yes"/>
    <n v="0"/>
    <x v="0"/>
    <x v="0"/>
    <x v="1"/>
    <x v="0"/>
    <x v="1"/>
    <m/>
  </r>
  <r>
    <n v="15580"/>
    <x v="0"/>
    <x v="1"/>
    <n v="60000"/>
    <n v="2"/>
    <x v="0"/>
    <s v="Professional"/>
    <s v="Yes"/>
    <n v="1"/>
    <x v="1"/>
    <x v="1"/>
    <x v="13"/>
    <x v="0"/>
    <x v="1"/>
    <m/>
  </r>
  <r>
    <n v="24185"/>
    <x v="1"/>
    <x v="0"/>
    <n v="10000"/>
    <n v="1"/>
    <x v="2"/>
    <s v="Manual"/>
    <s v="No"/>
    <n v="1"/>
    <x v="3"/>
    <x v="0"/>
    <x v="12"/>
    <x v="0"/>
    <x v="0"/>
    <m/>
  </r>
  <r>
    <n v="19291"/>
    <x v="1"/>
    <x v="0"/>
    <n v="10000"/>
    <n v="2"/>
    <x v="2"/>
    <s v="Manual"/>
    <s v="Yes"/>
    <n v="0"/>
    <x v="0"/>
    <x v="0"/>
    <x v="11"/>
    <x v="0"/>
    <x v="0"/>
    <m/>
  </r>
  <r>
    <n v="16713"/>
    <x v="0"/>
    <x v="1"/>
    <n v="40000"/>
    <n v="2"/>
    <x v="0"/>
    <s v="Management"/>
    <s v="Yes"/>
    <n v="1"/>
    <x v="0"/>
    <x v="1"/>
    <x v="31"/>
    <x v="0"/>
    <x v="1"/>
    <m/>
  </r>
  <r>
    <n v="16185"/>
    <x v="1"/>
    <x v="1"/>
    <n v="60000"/>
    <n v="4"/>
    <x v="0"/>
    <s v="Professional"/>
    <s v="Yes"/>
    <n v="3"/>
    <x v="4"/>
    <x v="1"/>
    <x v="3"/>
    <x v="0"/>
    <x v="0"/>
    <m/>
  </r>
  <r>
    <n v="14927"/>
    <x v="0"/>
    <x v="0"/>
    <n v="30000"/>
    <n v="1"/>
    <x v="0"/>
    <s v="Clerical"/>
    <s v="Yes"/>
    <n v="0"/>
    <x v="0"/>
    <x v="0"/>
    <x v="34"/>
    <x v="0"/>
    <x v="1"/>
    <m/>
  </r>
  <r>
    <n v="29337"/>
    <x v="1"/>
    <x v="1"/>
    <n v="30000"/>
    <n v="2"/>
    <x v="1"/>
    <s v="Clerical"/>
    <s v="Yes"/>
    <n v="2"/>
    <x v="2"/>
    <x v="1"/>
    <x v="35"/>
    <x v="1"/>
    <x v="0"/>
    <m/>
  </r>
  <r>
    <n v="29355"/>
    <x v="0"/>
    <x v="0"/>
    <n v="40000"/>
    <n v="0"/>
    <x v="4"/>
    <s v="Clerical"/>
    <s v="Yes"/>
    <n v="0"/>
    <x v="0"/>
    <x v="0"/>
    <x v="34"/>
    <x v="0"/>
    <x v="1"/>
    <m/>
  </r>
  <r>
    <n v="25303"/>
    <x v="1"/>
    <x v="1"/>
    <n v="30000"/>
    <n v="0"/>
    <x v="2"/>
    <s v="Manual"/>
    <s v="Yes"/>
    <n v="1"/>
    <x v="1"/>
    <x v="0"/>
    <x v="6"/>
    <x v="0"/>
    <x v="1"/>
    <m/>
  </r>
  <r>
    <n v="14813"/>
    <x v="1"/>
    <x v="0"/>
    <n v="20000"/>
    <n v="4"/>
    <x v="2"/>
    <s v="Manual"/>
    <s v="Yes"/>
    <n v="1"/>
    <x v="0"/>
    <x v="0"/>
    <x v="1"/>
    <x v="0"/>
    <x v="1"/>
    <m/>
  </r>
  <r>
    <n v="16438"/>
    <x v="0"/>
    <x v="0"/>
    <n v="10000"/>
    <n v="0"/>
    <x v="3"/>
    <s v="Manual"/>
    <s v="No"/>
    <n v="2"/>
    <x v="0"/>
    <x v="0"/>
    <x v="25"/>
    <x v="2"/>
    <x v="0"/>
    <m/>
  </r>
  <r>
    <n v="14238"/>
    <x v="0"/>
    <x v="1"/>
    <n v="120000"/>
    <n v="0"/>
    <x v="3"/>
    <s v="Professional"/>
    <s v="Yes"/>
    <n v="4"/>
    <x v="4"/>
    <x v="1"/>
    <x v="4"/>
    <x v="0"/>
    <x v="1"/>
    <m/>
  </r>
  <r>
    <n v="16200"/>
    <x v="1"/>
    <x v="0"/>
    <n v="10000"/>
    <n v="0"/>
    <x v="3"/>
    <s v="Manual"/>
    <s v="No"/>
    <n v="2"/>
    <x v="0"/>
    <x v="0"/>
    <x v="11"/>
    <x v="0"/>
    <x v="0"/>
    <m/>
  </r>
  <r>
    <n v="24857"/>
    <x v="0"/>
    <x v="0"/>
    <n v="130000"/>
    <n v="3"/>
    <x v="2"/>
    <s v="Professional"/>
    <s v="Yes"/>
    <n v="4"/>
    <x v="0"/>
    <x v="0"/>
    <x v="31"/>
    <x v="0"/>
    <x v="0"/>
    <m/>
  </r>
  <r>
    <n v="26956"/>
    <x v="1"/>
    <x v="0"/>
    <n v="20000"/>
    <n v="0"/>
    <x v="1"/>
    <s v="Manual"/>
    <s v="No"/>
    <n v="1"/>
    <x v="1"/>
    <x v="0"/>
    <x v="4"/>
    <x v="0"/>
    <x v="1"/>
    <m/>
  </r>
  <r>
    <n v="14517"/>
    <x v="0"/>
    <x v="0"/>
    <n v="20000"/>
    <n v="3"/>
    <x v="2"/>
    <s v="Skilled Manual"/>
    <s v="No"/>
    <n v="2"/>
    <x v="3"/>
    <x v="1"/>
    <x v="24"/>
    <x v="1"/>
    <x v="0"/>
    <m/>
  </r>
  <r>
    <n v="12678"/>
    <x v="1"/>
    <x v="0"/>
    <n v="130000"/>
    <n v="4"/>
    <x v="2"/>
    <s v="Management"/>
    <s v="Yes"/>
    <n v="4"/>
    <x v="0"/>
    <x v="1"/>
    <x v="23"/>
    <x v="0"/>
    <x v="0"/>
    <m/>
  </r>
  <r>
    <n v="16188"/>
    <x v="1"/>
    <x v="0"/>
    <n v="20000"/>
    <n v="0"/>
    <x v="3"/>
    <s v="Manual"/>
    <s v="No"/>
    <n v="2"/>
    <x v="3"/>
    <x v="0"/>
    <x v="22"/>
    <x v="2"/>
    <x v="0"/>
    <m/>
  </r>
  <r>
    <n v="27969"/>
    <x v="0"/>
    <x v="1"/>
    <n v="80000"/>
    <n v="0"/>
    <x v="0"/>
    <s v="Professional"/>
    <s v="Yes"/>
    <n v="2"/>
    <x v="4"/>
    <x v="1"/>
    <x v="19"/>
    <x v="2"/>
    <x v="1"/>
    <m/>
  </r>
  <r>
    <n v="15752"/>
    <x v="0"/>
    <x v="1"/>
    <n v="80000"/>
    <n v="2"/>
    <x v="2"/>
    <s v="Skilled Manual"/>
    <s v="No"/>
    <n v="2"/>
    <x v="3"/>
    <x v="1"/>
    <x v="5"/>
    <x v="0"/>
    <x v="1"/>
    <m/>
  </r>
  <r>
    <n v="27745"/>
    <x v="1"/>
    <x v="1"/>
    <n v="40000"/>
    <n v="2"/>
    <x v="0"/>
    <s v="Management"/>
    <s v="Yes"/>
    <n v="2"/>
    <x v="2"/>
    <x v="1"/>
    <x v="18"/>
    <x v="1"/>
    <x v="1"/>
    <m/>
  </r>
  <r>
    <n v="20828"/>
    <x v="0"/>
    <x v="0"/>
    <n v="30000"/>
    <n v="4"/>
    <x v="4"/>
    <s v="Clerical"/>
    <s v="Yes"/>
    <n v="0"/>
    <x v="0"/>
    <x v="0"/>
    <x v="12"/>
    <x v="0"/>
    <x v="1"/>
    <m/>
  </r>
  <r>
    <n v="19461"/>
    <x v="1"/>
    <x v="0"/>
    <n v="10000"/>
    <n v="4"/>
    <x v="3"/>
    <s v="Manual"/>
    <s v="Yes"/>
    <n v="2"/>
    <x v="0"/>
    <x v="0"/>
    <x v="8"/>
    <x v="0"/>
    <x v="0"/>
    <m/>
  </r>
  <r>
    <n v="26941"/>
    <x v="0"/>
    <x v="1"/>
    <n v="30000"/>
    <n v="0"/>
    <x v="0"/>
    <s v="Clerical"/>
    <s v="Yes"/>
    <n v="0"/>
    <x v="0"/>
    <x v="0"/>
    <x v="15"/>
    <x v="0"/>
    <x v="1"/>
    <m/>
  </r>
  <r>
    <n v="28412"/>
    <x v="1"/>
    <x v="1"/>
    <n v="20000"/>
    <n v="0"/>
    <x v="2"/>
    <s v="Manual"/>
    <s v="No"/>
    <n v="1"/>
    <x v="1"/>
    <x v="0"/>
    <x v="19"/>
    <x v="2"/>
    <x v="0"/>
    <m/>
  </r>
  <r>
    <n v="24485"/>
    <x v="1"/>
    <x v="1"/>
    <n v="40000"/>
    <n v="2"/>
    <x v="0"/>
    <s v="Management"/>
    <s v="No"/>
    <n v="1"/>
    <x v="2"/>
    <x v="1"/>
    <x v="31"/>
    <x v="0"/>
    <x v="1"/>
    <m/>
  </r>
  <r>
    <n v="16514"/>
    <x v="1"/>
    <x v="1"/>
    <n v="10000"/>
    <n v="0"/>
    <x v="1"/>
    <s v="Manual"/>
    <s v="Yes"/>
    <n v="1"/>
    <x v="3"/>
    <x v="1"/>
    <x v="22"/>
    <x v="2"/>
    <x v="1"/>
    <m/>
  </r>
  <r>
    <n v="17191"/>
    <x v="1"/>
    <x v="1"/>
    <n v="130000"/>
    <n v="3"/>
    <x v="1"/>
    <s v="Professional"/>
    <s v="No"/>
    <n v="3"/>
    <x v="0"/>
    <x v="0"/>
    <x v="36"/>
    <x v="0"/>
    <x v="1"/>
    <m/>
  </r>
  <r>
    <n v="19608"/>
    <x v="0"/>
    <x v="1"/>
    <n v="80000"/>
    <n v="5"/>
    <x v="0"/>
    <s v="Professional"/>
    <s v="Yes"/>
    <n v="4"/>
    <x v="3"/>
    <x v="1"/>
    <x v="8"/>
    <x v="0"/>
    <x v="0"/>
    <m/>
  </r>
  <r>
    <n v="24119"/>
    <x v="1"/>
    <x v="1"/>
    <n v="30000"/>
    <n v="0"/>
    <x v="1"/>
    <s v="Clerical"/>
    <s v="No"/>
    <n v="1"/>
    <x v="1"/>
    <x v="0"/>
    <x v="19"/>
    <x v="2"/>
    <x v="0"/>
    <m/>
  </r>
  <r>
    <n v="25458"/>
    <x v="0"/>
    <x v="1"/>
    <n v="20000"/>
    <n v="1"/>
    <x v="2"/>
    <s v="Manual"/>
    <s v="No"/>
    <n v="1"/>
    <x v="3"/>
    <x v="0"/>
    <x v="8"/>
    <x v="0"/>
    <x v="1"/>
    <m/>
  </r>
  <r>
    <n v="26886"/>
    <x v="1"/>
    <x v="0"/>
    <n v="30000"/>
    <n v="0"/>
    <x v="1"/>
    <s v="Clerical"/>
    <s v="No"/>
    <n v="1"/>
    <x v="0"/>
    <x v="0"/>
    <x v="19"/>
    <x v="2"/>
    <x v="1"/>
    <m/>
  </r>
  <r>
    <n v="28436"/>
    <x v="1"/>
    <x v="1"/>
    <n v="30000"/>
    <n v="0"/>
    <x v="1"/>
    <s v="Clerical"/>
    <s v="No"/>
    <n v="1"/>
    <x v="0"/>
    <x v="0"/>
    <x v="25"/>
    <x v="2"/>
    <x v="1"/>
    <m/>
  </r>
  <r>
    <n v="19562"/>
    <x v="1"/>
    <x v="0"/>
    <n v="60000"/>
    <n v="2"/>
    <x v="0"/>
    <s v="Professional"/>
    <s v="Yes"/>
    <n v="1"/>
    <x v="1"/>
    <x v="1"/>
    <x v="34"/>
    <x v="0"/>
    <x v="1"/>
    <m/>
  </r>
  <r>
    <n v="15608"/>
    <x v="1"/>
    <x v="0"/>
    <n v="30000"/>
    <n v="0"/>
    <x v="1"/>
    <s v="Clerical"/>
    <s v="No"/>
    <n v="1"/>
    <x v="1"/>
    <x v="0"/>
    <x v="6"/>
    <x v="0"/>
    <x v="0"/>
    <m/>
  </r>
  <r>
    <n v="16487"/>
    <x v="1"/>
    <x v="0"/>
    <n v="30000"/>
    <n v="3"/>
    <x v="2"/>
    <s v="Skilled Manual"/>
    <s v="Yes"/>
    <n v="2"/>
    <x v="2"/>
    <x v="1"/>
    <x v="10"/>
    <x v="1"/>
    <x v="0"/>
    <m/>
  </r>
  <r>
    <n v="17197"/>
    <x v="1"/>
    <x v="0"/>
    <n v="90000"/>
    <n v="5"/>
    <x v="1"/>
    <s v="Professional"/>
    <s v="Yes"/>
    <n v="2"/>
    <x v="4"/>
    <x v="0"/>
    <x v="24"/>
    <x v="1"/>
    <x v="0"/>
    <m/>
  </r>
  <r>
    <n v="12507"/>
    <x v="0"/>
    <x v="1"/>
    <n v="30000"/>
    <n v="1"/>
    <x v="1"/>
    <s v="Clerical"/>
    <s v="Yes"/>
    <n v="1"/>
    <x v="0"/>
    <x v="0"/>
    <x v="1"/>
    <x v="0"/>
    <x v="0"/>
    <m/>
  </r>
  <r>
    <n v="23940"/>
    <x v="0"/>
    <x v="1"/>
    <n v="40000"/>
    <n v="1"/>
    <x v="0"/>
    <s v="Skilled Manual"/>
    <s v="Yes"/>
    <n v="1"/>
    <x v="0"/>
    <x v="0"/>
    <x v="20"/>
    <x v="0"/>
    <x v="1"/>
    <m/>
  </r>
  <r>
    <n v="19441"/>
    <x v="0"/>
    <x v="1"/>
    <n v="40000"/>
    <n v="0"/>
    <x v="4"/>
    <s v="Clerical"/>
    <s v="Yes"/>
    <n v="0"/>
    <x v="0"/>
    <x v="0"/>
    <x v="37"/>
    <x v="2"/>
    <x v="1"/>
    <m/>
  </r>
  <r>
    <n v="26852"/>
    <x v="0"/>
    <x v="0"/>
    <n v="20000"/>
    <n v="3"/>
    <x v="2"/>
    <s v="Manual"/>
    <s v="Yes"/>
    <n v="2"/>
    <x v="0"/>
    <x v="0"/>
    <x v="1"/>
    <x v="0"/>
    <x v="0"/>
    <m/>
  </r>
  <r>
    <n v="12274"/>
    <x v="1"/>
    <x v="1"/>
    <n v="10000"/>
    <n v="2"/>
    <x v="2"/>
    <s v="Manual"/>
    <s v="Yes"/>
    <n v="0"/>
    <x v="0"/>
    <x v="0"/>
    <x v="11"/>
    <x v="0"/>
    <x v="0"/>
    <m/>
  </r>
  <r>
    <n v="20236"/>
    <x v="1"/>
    <x v="1"/>
    <n v="60000"/>
    <n v="3"/>
    <x v="0"/>
    <s v="Professional"/>
    <s v="No"/>
    <n v="2"/>
    <x v="0"/>
    <x v="1"/>
    <x v="1"/>
    <x v="0"/>
    <x v="1"/>
    <m/>
  </r>
  <r>
    <n v="24149"/>
    <x v="0"/>
    <x v="1"/>
    <n v="10000"/>
    <n v="2"/>
    <x v="1"/>
    <s v="Manual"/>
    <s v="Yes"/>
    <n v="0"/>
    <x v="3"/>
    <x v="0"/>
    <x v="38"/>
    <x v="0"/>
    <x v="0"/>
    <m/>
  </r>
  <r>
    <n v="26139"/>
    <x v="1"/>
    <x v="1"/>
    <n v="60000"/>
    <n v="1"/>
    <x v="1"/>
    <s v="Skilled Manual"/>
    <s v="Yes"/>
    <n v="1"/>
    <x v="2"/>
    <x v="1"/>
    <x v="12"/>
    <x v="0"/>
    <x v="0"/>
    <m/>
  </r>
  <r>
    <n v="18491"/>
    <x v="1"/>
    <x v="0"/>
    <n v="70000"/>
    <n v="2"/>
    <x v="2"/>
    <s v="Professional"/>
    <s v="Yes"/>
    <n v="2"/>
    <x v="2"/>
    <x v="1"/>
    <x v="38"/>
    <x v="0"/>
    <x v="1"/>
    <m/>
  </r>
  <r>
    <n v="22707"/>
    <x v="1"/>
    <x v="0"/>
    <n v="30000"/>
    <n v="0"/>
    <x v="1"/>
    <s v="Clerical"/>
    <s v="No"/>
    <n v="1"/>
    <x v="1"/>
    <x v="0"/>
    <x v="25"/>
    <x v="2"/>
    <x v="0"/>
    <m/>
  </r>
  <r>
    <n v="20430"/>
    <x v="0"/>
    <x v="1"/>
    <n v="70000"/>
    <n v="2"/>
    <x v="1"/>
    <s v="Skilled Manual"/>
    <s v="Yes"/>
    <n v="2"/>
    <x v="2"/>
    <x v="1"/>
    <x v="31"/>
    <x v="0"/>
    <x v="1"/>
    <m/>
  </r>
  <r>
    <n v="27494"/>
    <x v="1"/>
    <x v="0"/>
    <n v="40000"/>
    <n v="2"/>
    <x v="1"/>
    <s v="Skilled Manual"/>
    <s v="No"/>
    <n v="2"/>
    <x v="3"/>
    <x v="1"/>
    <x v="39"/>
    <x v="0"/>
    <x v="1"/>
    <m/>
  </r>
  <r>
    <n v="26829"/>
    <x v="0"/>
    <x v="0"/>
    <n v="40000"/>
    <n v="0"/>
    <x v="0"/>
    <s v="Clerical"/>
    <s v="Yes"/>
    <n v="0"/>
    <x v="0"/>
    <x v="0"/>
    <x v="13"/>
    <x v="0"/>
    <x v="1"/>
    <m/>
  </r>
  <r>
    <n v="28395"/>
    <x v="1"/>
    <x v="1"/>
    <n v="40000"/>
    <n v="0"/>
    <x v="0"/>
    <s v="Professional"/>
    <s v="No"/>
    <n v="0"/>
    <x v="0"/>
    <x v="0"/>
    <x v="32"/>
    <x v="0"/>
    <x v="1"/>
    <m/>
  </r>
  <r>
    <n v="21006"/>
    <x v="1"/>
    <x v="0"/>
    <n v="30000"/>
    <n v="1"/>
    <x v="1"/>
    <s v="Manual"/>
    <s v="No"/>
    <n v="0"/>
    <x v="0"/>
    <x v="0"/>
    <x v="30"/>
    <x v="0"/>
    <x v="1"/>
    <m/>
  </r>
  <r>
    <n v="14682"/>
    <x v="1"/>
    <x v="0"/>
    <n v="70000"/>
    <n v="0"/>
    <x v="0"/>
    <s v="Professional"/>
    <s v="No"/>
    <n v="1"/>
    <x v="2"/>
    <x v="1"/>
    <x v="13"/>
    <x v="0"/>
    <x v="0"/>
    <m/>
  </r>
  <r>
    <n v="17650"/>
    <x v="1"/>
    <x v="0"/>
    <n v="40000"/>
    <n v="2"/>
    <x v="1"/>
    <s v="Clerical"/>
    <s v="Yes"/>
    <n v="2"/>
    <x v="3"/>
    <x v="0"/>
    <x v="11"/>
    <x v="0"/>
    <x v="0"/>
    <m/>
  </r>
  <r>
    <n v="29191"/>
    <x v="1"/>
    <x v="0"/>
    <n v="130000"/>
    <n v="1"/>
    <x v="4"/>
    <s v="Management"/>
    <s v="No"/>
    <n v="1"/>
    <x v="0"/>
    <x v="1"/>
    <x v="4"/>
    <x v="0"/>
    <x v="1"/>
    <m/>
  </r>
  <r>
    <n v="15030"/>
    <x v="0"/>
    <x v="1"/>
    <n v="20000"/>
    <n v="0"/>
    <x v="0"/>
    <s v="Clerical"/>
    <s v="Yes"/>
    <n v="0"/>
    <x v="0"/>
    <x v="1"/>
    <x v="22"/>
    <x v="2"/>
    <x v="1"/>
    <m/>
  </r>
  <r>
    <n v="24140"/>
    <x v="1"/>
    <x v="1"/>
    <n v="10000"/>
    <n v="0"/>
    <x v="4"/>
    <s v="Manual"/>
    <s v="No"/>
    <n v="0"/>
    <x v="0"/>
    <x v="0"/>
    <x v="25"/>
    <x v="2"/>
    <x v="1"/>
    <m/>
  </r>
  <r>
    <n v="22496"/>
    <x v="0"/>
    <x v="0"/>
    <n v="30000"/>
    <n v="1"/>
    <x v="0"/>
    <s v="Skilled Manual"/>
    <s v="Yes"/>
    <n v="2"/>
    <x v="0"/>
    <x v="0"/>
    <x v="0"/>
    <x v="0"/>
    <x v="0"/>
    <m/>
  </r>
  <r>
    <n v="24065"/>
    <x v="1"/>
    <x v="0"/>
    <n v="20000"/>
    <n v="0"/>
    <x v="2"/>
    <s v="Manual"/>
    <s v="Yes"/>
    <n v="0"/>
    <x v="0"/>
    <x v="0"/>
    <x v="8"/>
    <x v="0"/>
    <x v="1"/>
    <m/>
  </r>
  <r>
    <n v="19914"/>
    <x v="0"/>
    <x v="1"/>
    <n v="80000"/>
    <n v="5"/>
    <x v="0"/>
    <s v="Management"/>
    <s v="Yes"/>
    <n v="2"/>
    <x v="1"/>
    <x v="0"/>
    <x v="24"/>
    <x v="1"/>
    <x v="0"/>
    <m/>
  </r>
  <r>
    <n v="12871"/>
    <x v="1"/>
    <x v="0"/>
    <n v="30000"/>
    <n v="0"/>
    <x v="1"/>
    <s v="Clerical"/>
    <s v="No"/>
    <n v="1"/>
    <x v="1"/>
    <x v="0"/>
    <x v="19"/>
    <x v="2"/>
    <x v="0"/>
    <m/>
  </r>
  <r>
    <n v="22988"/>
    <x v="0"/>
    <x v="0"/>
    <n v="40000"/>
    <n v="2"/>
    <x v="0"/>
    <s v="Management"/>
    <s v="Yes"/>
    <n v="2"/>
    <x v="2"/>
    <x v="1"/>
    <x v="29"/>
    <x v="1"/>
    <x v="1"/>
    <m/>
  </r>
  <r>
    <n v="15922"/>
    <x v="0"/>
    <x v="1"/>
    <n v="150000"/>
    <n v="2"/>
    <x v="2"/>
    <s v="Professional"/>
    <s v="Yes"/>
    <n v="4"/>
    <x v="0"/>
    <x v="0"/>
    <x v="28"/>
    <x v="0"/>
    <x v="0"/>
    <m/>
  </r>
  <r>
    <n v="12344"/>
    <x v="1"/>
    <x v="0"/>
    <n v="80000"/>
    <n v="0"/>
    <x v="0"/>
    <s v="Professional"/>
    <s v="No"/>
    <n v="3"/>
    <x v="4"/>
    <x v="1"/>
    <x v="23"/>
    <x v="0"/>
    <x v="0"/>
    <m/>
  </r>
  <r>
    <n v="23627"/>
    <x v="1"/>
    <x v="0"/>
    <n v="100000"/>
    <n v="3"/>
    <x v="1"/>
    <s v="Management"/>
    <s v="No"/>
    <n v="4"/>
    <x v="2"/>
    <x v="0"/>
    <x v="16"/>
    <x v="1"/>
    <x v="0"/>
    <m/>
  </r>
  <r>
    <n v="27775"/>
    <x v="1"/>
    <x v="0"/>
    <n v="40000"/>
    <n v="0"/>
    <x v="0"/>
    <s v="Clerical"/>
    <s v="No"/>
    <n v="0"/>
    <x v="0"/>
    <x v="0"/>
    <x v="13"/>
    <x v="0"/>
    <x v="1"/>
    <m/>
  </r>
  <r>
    <n v="29301"/>
    <x v="0"/>
    <x v="1"/>
    <n v="80000"/>
    <n v="5"/>
    <x v="0"/>
    <s v="Professional"/>
    <s v="Yes"/>
    <n v="4"/>
    <x v="3"/>
    <x v="1"/>
    <x v="8"/>
    <x v="0"/>
    <x v="0"/>
    <m/>
  </r>
  <r>
    <n v="12716"/>
    <x v="1"/>
    <x v="1"/>
    <n v="30000"/>
    <n v="0"/>
    <x v="1"/>
    <s v="Clerical"/>
    <s v="Yes"/>
    <n v="1"/>
    <x v="1"/>
    <x v="0"/>
    <x v="21"/>
    <x v="0"/>
    <x v="0"/>
    <m/>
  </r>
  <r>
    <n v="12472"/>
    <x v="0"/>
    <x v="1"/>
    <n v="30000"/>
    <n v="1"/>
    <x v="0"/>
    <s v="Clerical"/>
    <s v="Yes"/>
    <n v="1"/>
    <x v="1"/>
    <x v="0"/>
    <x v="32"/>
    <x v="0"/>
    <x v="0"/>
    <m/>
  </r>
  <r>
    <n v="20970"/>
    <x v="1"/>
    <x v="1"/>
    <n v="10000"/>
    <n v="2"/>
    <x v="1"/>
    <s v="Manual"/>
    <s v="Yes"/>
    <n v="1"/>
    <x v="0"/>
    <x v="0"/>
    <x v="31"/>
    <x v="0"/>
    <x v="1"/>
    <m/>
  </r>
  <r>
    <n v="26818"/>
    <x v="1"/>
    <x v="1"/>
    <n v="10000"/>
    <n v="3"/>
    <x v="2"/>
    <s v="Manual"/>
    <s v="Yes"/>
    <n v="1"/>
    <x v="0"/>
    <x v="0"/>
    <x v="32"/>
    <x v="0"/>
    <x v="1"/>
    <m/>
  </r>
  <r>
    <n v="12993"/>
    <x v="0"/>
    <x v="1"/>
    <n v="60000"/>
    <n v="2"/>
    <x v="0"/>
    <s v="Professional"/>
    <s v="Yes"/>
    <n v="1"/>
    <x v="1"/>
    <x v="1"/>
    <x v="34"/>
    <x v="0"/>
    <x v="0"/>
    <m/>
  </r>
  <r>
    <n v="14192"/>
    <x v="0"/>
    <x v="1"/>
    <n v="90000"/>
    <n v="4"/>
    <x v="2"/>
    <s v="Management"/>
    <s v="Yes"/>
    <n v="3"/>
    <x v="2"/>
    <x v="0"/>
    <x v="16"/>
    <x v="1"/>
    <x v="1"/>
    <m/>
  </r>
  <r>
    <n v="19477"/>
    <x v="0"/>
    <x v="1"/>
    <n v="40000"/>
    <n v="0"/>
    <x v="0"/>
    <s v="Professional"/>
    <s v="Yes"/>
    <n v="0"/>
    <x v="0"/>
    <x v="0"/>
    <x v="8"/>
    <x v="0"/>
    <x v="1"/>
    <m/>
  </r>
  <r>
    <n v="26796"/>
    <x v="1"/>
    <x v="1"/>
    <n v="40000"/>
    <n v="2"/>
    <x v="0"/>
    <s v="Management"/>
    <s v="Yes"/>
    <n v="2"/>
    <x v="2"/>
    <x v="1"/>
    <x v="27"/>
    <x v="1"/>
    <x v="1"/>
    <m/>
  </r>
  <r>
    <n v="21094"/>
    <x v="1"/>
    <x v="0"/>
    <n v="30000"/>
    <n v="2"/>
    <x v="1"/>
    <s v="Clerical"/>
    <s v="Yes"/>
    <n v="2"/>
    <x v="0"/>
    <x v="0"/>
    <x v="0"/>
    <x v="0"/>
    <x v="0"/>
    <m/>
  </r>
  <r>
    <n v="12234"/>
    <x v="0"/>
    <x v="1"/>
    <n v="10000"/>
    <n v="2"/>
    <x v="1"/>
    <s v="Manual"/>
    <s v="Yes"/>
    <n v="1"/>
    <x v="1"/>
    <x v="0"/>
    <x v="31"/>
    <x v="0"/>
    <x v="0"/>
    <m/>
  </r>
  <r>
    <n v="28683"/>
    <x v="1"/>
    <x v="0"/>
    <n v="10000"/>
    <n v="1"/>
    <x v="2"/>
    <s v="Manual"/>
    <s v="No"/>
    <n v="1"/>
    <x v="2"/>
    <x v="0"/>
    <x v="11"/>
    <x v="0"/>
    <x v="1"/>
    <m/>
  </r>
  <r>
    <n v="17994"/>
    <x v="1"/>
    <x v="1"/>
    <n v="20000"/>
    <n v="2"/>
    <x v="2"/>
    <s v="Manual"/>
    <s v="Yes"/>
    <n v="2"/>
    <x v="0"/>
    <x v="0"/>
    <x v="0"/>
    <x v="0"/>
    <x v="0"/>
    <m/>
  </r>
  <r>
    <n v="24273"/>
    <x v="0"/>
    <x v="0"/>
    <n v="20000"/>
    <n v="2"/>
    <x v="3"/>
    <s v="Clerical"/>
    <s v="Yes"/>
    <n v="2"/>
    <x v="2"/>
    <x v="1"/>
    <x v="10"/>
    <x v="1"/>
    <x v="1"/>
    <m/>
  </r>
  <r>
    <n v="26547"/>
    <x v="1"/>
    <x v="0"/>
    <n v="30000"/>
    <n v="2"/>
    <x v="1"/>
    <s v="Clerical"/>
    <s v="No"/>
    <n v="2"/>
    <x v="2"/>
    <x v="1"/>
    <x v="2"/>
    <x v="1"/>
    <x v="1"/>
    <m/>
  </r>
  <r>
    <n v="22500"/>
    <x v="1"/>
    <x v="1"/>
    <n v="40000"/>
    <n v="0"/>
    <x v="0"/>
    <s v="Professional"/>
    <s v="No"/>
    <n v="0"/>
    <x v="0"/>
    <x v="0"/>
    <x v="8"/>
    <x v="0"/>
    <x v="1"/>
    <m/>
  </r>
  <r>
    <n v="23993"/>
    <x v="1"/>
    <x v="0"/>
    <n v="10000"/>
    <n v="0"/>
    <x v="1"/>
    <s v="Manual"/>
    <s v="No"/>
    <n v="1"/>
    <x v="0"/>
    <x v="1"/>
    <x v="22"/>
    <x v="2"/>
    <x v="1"/>
    <m/>
  </r>
  <r>
    <n v="14832"/>
    <x v="0"/>
    <x v="1"/>
    <n v="40000"/>
    <n v="1"/>
    <x v="0"/>
    <s v="Skilled Manual"/>
    <s v="Yes"/>
    <n v="0"/>
    <x v="0"/>
    <x v="0"/>
    <x v="0"/>
    <x v="0"/>
    <x v="1"/>
    <m/>
  </r>
  <r>
    <n v="16614"/>
    <x v="0"/>
    <x v="0"/>
    <n v="80000"/>
    <n v="0"/>
    <x v="0"/>
    <s v="Professional"/>
    <s v="Yes"/>
    <n v="3"/>
    <x v="4"/>
    <x v="1"/>
    <x v="21"/>
    <x v="0"/>
    <x v="0"/>
    <m/>
  </r>
  <r>
    <n v="20877"/>
    <x v="1"/>
    <x v="1"/>
    <n v="30000"/>
    <n v="1"/>
    <x v="0"/>
    <s v="Clerical"/>
    <s v="Yes"/>
    <n v="0"/>
    <x v="3"/>
    <x v="0"/>
    <x v="34"/>
    <x v="0"/>
    <x v="1"/>
    <m/>
  </r>
  <r>
    <n v="20729"/>
    <x v="0"/>
    <x v="0"/>
    <n v="40000"/>
    <n v="2"/>
    <x v="1"/>
    <s v="Clerical"/>
    <s v="No"/>
    <n v="1"/>
    <x v="0"/>
    <x v="0"/>
    <x v="17"/>
    <x v="0"/>
    <x v="0"/>
    <m/>
  </r>
  <r>
    <n v="22464"/>
    <x v="0"/>
    <x v="1"/>
    <n v="40000"/>
    <n v="0"/>
    <x v="4"/>
    <s v="Clerical"/>
    <s v="Yes"/>
    <n v="0"/>
    <x v="0"/>
    <x v="0"/>
    <x v="34"/>
    <x v="0"/>
    <x v="1"/>
    <m/>
  </r>
  <r>
    <n v="19475"/>
    <x v="0"/>
    <x v="0"/>
    <n v="40000"/>
    <n v="0"/>
    <x v="0"/>
    <s v="Professional"/>
    <s v="No"/>
    <n v="0"/>
    <x v="0"/>
    <x v="0"/>
    <x v="8"/>
    <x v="0"/>
    <x v="1"/>
    <m/>
  </r>
  <r>
    <n v="19675"/>
    <x v="0"/>
    <x v="1"/>
    <n v="20000"/>
    <n v="4"/>
    <x v="2"/>
    <s v="Skilled Manual"/>
    <s v="Yes"/>
    <n v="2"/>
    <x v="2"/>
    <x v="1"/>
    <x v="2"/>
    <x v="1"/>
    <x v="0"/>
    <m/>
  </r>
  <r>
    <n v="12728"/>
    <x v="1"/>
    <x v="1"/>
    <n v="30000"/>
    <n v="0"/>
    <x v="1"/>
    <s v="Clerical"/>
    <s v="No"/>
    <n v="1"/>
    <x v="3"/>
    <x v="0"/>
    <x v="40"/>
    <x v="2"/>
    <x v="0"/>
    <m/>
  </r>
  <r>
    <n v="26154"/>
    <x v="0"/>
    <x v="1"/>
    <n v="60000"/>
    <n v="1"/>
    <x v="1"/>
    <s v="Skilled Manual"/>
    <s v="Yes"/>
    <n v="1"/>
    <x v="2"/>
    <x v="1"/>
    <x v="1"/>
    <x v="0"/>
    <x v="1"/>
    <m/>
  </r>
  <r>
    <n v="29117"/>
    <x v="1"/>
    <x v="1"/>
    <n v="100000"/>
    <n v="1"/>
    <x v="0"/>
    <s v="Management"/>
    <s v="No"/>
    <n v="3"/>
    <x v="0"/>
    <x v="1"/>
    <x v="28"/>
    <x v="0"/>
    <x v="0"/>
    <m/>
  </r>
  <r>
    <n v="17845"/>
    <x v="1"/>
    <x v="0"/>
    <n v="20000"/>
    <n v="0"/>
    <x v="3"/>
    <s v="Manual"/>
    <s v="No"/>
    <n v="2"/>
    <x v="3"/>
    <x v="0"/>
    <x v="21"/>
    <x v="0"/>
    <x v="0"/>
    <m/>
  </r>
  <r>
    <n v="25058"/>
    <x v="0"/>
    <x v="1"/>
    <n v="100000"/>
    <n v="1"/>
    <x v="0"/>
    <s v="Management"/>
    <s v="Yes"/>
    <n v="3"/>
    <x v="1"/>
    <x v="1"/>
    <x v="15"/>
    <x v="0"/>
    <x v="0"/>
    <m/>
  </r>
  <r>
    <n v="23426"/>
    <x v="1"/>
    <x v="1"/>
    <n v="80000"/>
    <n v="5"/>
    <x v="4"/>
    <s v="Management"/>
    <s v="Yes"/>
    <n v="3"/>
    <x v="0"/>
    <x v="1"/>
    <x v="8"/>
    <x v="0"/>
    <x v="0"/>
    <m/>
  </r>
  <r>
    <n v="14798"/>
    <x v="1"/>
    <x v="0"/>
    <n v="10000"/>
    <n v="4"/>
    <x v="3"/>
    <s v="Manual"/>
    <s v="Yes"/>
    <n v="2"/>
    <x v="0"/>
    <x v="0"/>
    <x v="3"/>
    <x v="0"/>
    <x v="1"/>
    <m/>
  </r>
  <r>
    <n v="12664"/>
    <x v="0"/>
    <x v="0"/>
    <n v="130000"/>
    <n v="5"/>
    <x v="1"/>
    <s v="Professional"/>
    <s v="Yes"/>
    <n v="4"/>
    <x v="0"/>
    <x v="0"/>
    <x v="14"/>
    <x v="1"/>
    <x v="0"/>
    <m/>
  </r>
  <r>
    <n v="23979"/>
    <x v="1"/>
    <x v="1"/>
    <n v="10000"/>
    <n v="2"/>
    <x v="1"/>
    <s v="Manual"/>
    <s v="No"/>
    <n v="0"/>
    <x v="0"/>
    <x v="0"/>
    <x v="5"/>
    <x v="0"/>
    <x v="0"/>
    <m/>
  </r>
  <r>
    <n v="25605"/>
    <x v="1"/>
    <x v="0"/>
    <n v="20000"/>
    <n v="2"/>
    <x v="1"/>
    <s v="Manual"/>
    <s v="No"/>
    <n v="1"/>
    <x v="0"/>
    <x v="0"/>
    <x v="9"/>
    <x v="0"/>
    <x v="1"/>
    <m/>
  </r>
  <r>
    <n v="20797"/>
    <x v="0"/>
    <x v="0"/>
    <n v="10000"/>
    <n v="1"/>
    <x v="0"/>
    <s v="Manual"/>
    <s v="Yes"/>
    <n v="0"/>
    <x v="0"/>
    <x v="0"/>
    <x v="28"/>
    <x v="0"/>
    <x v="0"/>
    <m/>
  </r>
  <r>
    <n v="21980"/>
    <x v="1"/>
    <x v="0"/>
    <n v="60000"/>
    <n v="1"/>
    <x v="0"/>
    <s v="Professional"/>
    <s v="Yes"/>
    <n v="1"/>
    <x v="2"/>
    <x v="1"/>
    <x v="20"/>
    <x v="0"/>
    <x v="1"/>
    <m/>
  </r>
  <r>
    <n v="25460"/>
    <x v="0"/>
    <x v="0"/>
    <n v="20000"/>
    <n v="2"/>
    <x v="2"/>
    <s v="Manual"/>
    <s v="Yes"/>
    <n v="0"/>
    <x v="0"/>
    <x v="0"/>
    <x v="8"/>
    <x v="0"/>
    <x v="1"/>
    <m/>
  </r>
  <r>
    <n v="29181"/>
    <x v="1"/>
    <x v="0"/>
    <n v="60000"/>
    <n v="2"/>
    <x v="0"/>
    <s v="Professional"/>
    <s v="No"/>
    <n v="1"/>
    <x v="0"/>
    <x v="1"/>
    <x v="13"/>
    <x v="0"/>
    <x v="1"/>
    <m/>
  </r>
  <r>
    <n v="24279"/>
    <x v="1"/>
    <x v="1"/>
    <n v="40000"/>
    <n v="2"/>
    <x v="1"/>
    <s v="Skilled Manual"/>
    <s v="No"/>
    <n v="2"/>
    <x v="3"/>
    <x v="1"/>
    <x v="31"/>
    <x v="0"/>
    <x v="0"/>
    <m/>
  </r>
  <r>
    <n v="22402"/>
    <x v="0"/>
    <x v="1"/>
    <n v="10000"/>
    <n v="0"/>
    <x v="1"/>
    <s v="Manual"/>
    <s v="Yes"/>
    <n v="1"/>
    <x v="1"/>
    <x v="1"/>
    <x v="37"/>
    <x v="2"/>
    <x v="1"/>
    <m/>
  </r>
  <r>
    <n v="15465"/>
    <x v="0"/>
    <x v="0"/>
    <n v="10000"/>
    <n v="0"/>
    <x v="1"/>
    <s v="Manual"/>
    <s v="No"/>
    <n v="1"/>
    <x v="0"/>
    <x v="1"/>
    <x v="37"/>
    <x v="2"/>
    <x v="0"/>
    <m/>
  </r>
  <r>
    <n v="26757"/>
    <x v="1"/>
    <x v="1"/>
    <n v="90000"/>
    <n v="1"/>
    <x v="0"/>
    <s v="Professional"/>
    <s v="Yes"/>
    <n v="1"/>
    <x v="1"/>
    <x v="1"/>
    <x v="15"/>
    <x v="0"/>
    <x v="1"/>
    <m/>
  </r>
  <r>
    <n v="14233"/>
    <x v="1"/>
    <x v="1"/>
    <n v="100000"/>
    <n v="0"/>
    <x v="2"/>
    <s v="Management"/>
    <s v="Yes"/>
    <n v="3"/>
    <x v="4"/>
    <x v="1"/>
    <x v="11"/>
    <x v="0"/>
    <x v="0"/>
    <m/>
  </r>
  <r>
    <n v="14058"/>
    <x v="1"/>
    <x v="1"/>
    <n v="70000"/>
    <n v="0"/>
    <x v="0"/>
    <s v="Professional"/>
    <s v="No"/>
    <n v="1"/>
    <x v="2"/>
    <x v="1"/>
    <x v="3"/>
    <x v="0"/>
    <x v="1"/>
    <m/>
  </r>
  <r>
    <n v="12273"/>
    <x v="0"/>
    <x v="1"/>
    <n v="30000"/>
    <n v="1"/>
    <x v="0"/>
    <s v="Clerical"/>
    <s v="Yes"/>
    <n v="0"/>
    <x v="0"/>
    <x v="0"/>
    <x v="15"/>
    <x v="0"/>
    <x v="0"/>
    <m/>
  </r>
  <r>
    <n v="17203"/>
    <x v="0"/>
    <x v="0"/>
    <n v="130000"/>
    <n v="4"/>
    <x v="1"/>
    <s v="Professional"/>
    <s v="Yes"/>
    <n v="4"/>
    <x v="2"/>
    <x v="0"/>
    <x v="33"/>
    <x v="1"/>
    <x v="1"/>
    <m/>
  </r>
  <r>
    <n v="18144"/>
    <x v="0"/>
    <x v="0"/>
    <n v="80000"/>
    <n v="5"/>
    <x v="0"/>
    <s v="Management"/>
    <s v="Yes"/>
    <n v="2"/>
    <x v="1"/>
    <x v="0"/>
    <x v="33"/>
    <x v="1"/>
    <x v="0"/>
    <m/>
  </r>
  <r>
    <n v="23963"/>
    <x v="0"/>
    <x v="1"/>
    <n v="10000"/>
    <n v="0"/>
    <x v="3"/>
    <s v="Manual"/>
    <s v="No"/>
    <n v="2"/>
    <x v="0"/>
    <x v="0"/>
    <x v="6"/>
    <x v="0"/>
    <x v="0"/>
    <m/>
  </r>
  <r>
    <n v="17907"/>
    <x v="0"/>
    <x v="0"/>
    <n v="10000"/>
    <n v="0"/>
    <x v="1"/>
    <s v="Manual"/>
    <s v="Yes"/>
    <n v="1"/>
    <x v="1"/>
    <x v="1"/>
    <x v="40"/>
    <x v="2"/>
    <x v="0"/>
    <m/>
  </r>
  <r>
    <n v="19442"/>
    <x v="1"/>
    <x v="1"/>
    <n v="50000"/>
    <n v="0"/>
    <x v="4"/>
    <s v="Skilled Manual"/>
    <s v="Yes"/>
    <n v="0"/>
    <x v="0"/>
    <x v="0"/>
    <x v="34"/>
    <x v="0"/>
    <x v="1"/>
    <m/>
  </r>
  <r>
    <n v="17504"/>
    <x v="1"/>
    <x v="0"/>
    <n v="80000"/>
    <n v="2"/>
    <x v="1"/>
    <s v="Skilled Manual"/>
    <s v="Yes"/>
    <n v="2"/>
    <x v="2"/>
    <x v="1"/>
    <x v="31"/>
    <x v="0"/>
    <x v="1"/>
    <m/>
  </r>
  <r>
    <n v="12253"/>
    <x v="1"/>
    <x v="0"/>
    <n v="20000"/>
    <n v="0"/>
    <x v="1"/>
    <s v="Manual"/>
    <s v="Yes"/>
    <n v="0"/>
    <x v="0"/>
    <x v="1"/>
    <x v="19"/>
    <x v="2"/>
    <x v="1"/>
    <m/>
  </r>
  <r>
    <n v="27304"/>
    <x v="1"/>
    <x v="0"/>
    <n v="110000"/>
    <n v="2"/>
    <x v="1"/>
    <s v="Professional"/>
    <s v="No"/>
    <n v="3"/>
    <x v="2"/>
    <x v="0"/>
    <x v="28"/>
    <x v="0"/>
    <x v="0"/>
    <m/>
  </r>
  <r>
    <n v="14191"/>
    <x v="0"/>
    <x v="1"/>
    <n v="160000"/>
    <n v="4"/>
    <x v="1"/>
    <s v="Professional"/>
    <s v="No"/>
    <n v="2"/>
    <x v="4"/>
    <x v="0"/>
    <x v="10"/>
    <x v="1"/>
    <x v="1"/>
    <m/>
  </r>
  <r>
    <n v="12212"/>
    <x v="0"/>
    <x v="0"/>
    <n v="10000"/>
    <n v="0"/>
    <x v="4"/>
    <s v="Manual"/>
    <s v="Yes"/>
    <n v="0"/>
    <x v="0"/>
    <x v="0"/>
    <x v="34"/>
    <x v="0"/>
    <x v="1"/>
    <m/>
  </r>
  <r>
    <n v="25529"/>
    <x v="1"/>
    <x v="1"/>
    <n v="10000"/>
    <n v="1"/>
    <x v="4"/>
    <s v="Manual"/>
    <s v="Yes"/>
    <n v="0"/>
    <x v="0"/>
    <x v="0"/>
    <x v="20"/>
    <x v="0"/>
    <x v="0"/>
    <m/>
  </r>
  <r>
    <n v="22170"/>
    <x v="0"/>
    <x v="0"/>
    <n v="30000"/>
    <n v="3"/>
    <x v="1"/>
    <s v="Clerical"/>
    <s v="No"/>
    <n v="2"/>
    <x v="3"/>
    <x v="1"/>
    <x v="10"/>
    <x v="1"/>
    <x v="1"/>
    <m/>
  </r>
  <r>
    <n v="19445"/>
    <x v="0"/>
    <x v="0"/>
    <n v="10000"/>
    <n v="2"/>
    <x v="2"/>
    <s v="Manual"/>
    <s v="No"/>
    <n v="1"/>
    <x v="0"/>
    <x v="0"/>
    <x v="13"/>
    <x v="0"/>
    <x v="0"/>
    <m/>
  </r>
  <r>
    <n v="15265"/>
    <x v="1"/>
    <x v="1"/>
    <n v="40000"/>
    <n v="2"/>
    <x v="0"/>
    <s v="Management"/>
    <s v="Yes"/>
    <n v="2"/>
    <x v="2"/>
    <x v="1"/>
    <x v="29"/>
    <x v="1"/>
    <x v="1"/>
    <m/>
  </r>
  <r>
    <n v="28918"/>
    <x v="0"/>
    <x v="0"/>
    <n v="130000"/>
    <n v="4"/>
    <x v="2"/>
    <s v="Management"/>
    <s v="No"/>
    <n v="4"/>
    <x v="4"/>
    <x v="0"/>
    <x v="7"/>
    <x v="1"/>
    <x v="0"/>
    <m/>
  </r>
  <r>
    <n v="15799"/>
    <x v="0"/>
    <x v="0"/>
    <n v="90000"/>
    <n v="1"/>
    <x v="0"/>
    <s v="Professional"/>
    <s v="Yes"/>
    <n v="1"/>
    <x v="1"/>
    <x v="1"/>
    <x v="15"/>
    <x v="0"/>
    <x v="1"/>
    <m/>
  </r>
  <r>
    <n v="11047"/>
    <x v="0"/>
    <x v="0"/>
    <n v="30000"/>
    <n v="3"/>
    <x v="2"/>
    <s v="Skilled Manual"/>
    <s v="No"/>
    <n v="2"/>
    <x v="3"/>
    <x v="1"/>
    <x v="16"/>
    <x v="1"/>
    <x v="1"/>
    <m/>
  </r>
  <r>
    <n v="18151"/>
    <x v="1"/>
    <x v="1"/>
    <n v="80000"/>
    <n v="5"/>
    <x v="1"/>
    <s v="Professional"/>
    <s v="No"/>
    <n v="2"/>
    <x v="4"/>
    <x v="0"/>
    <x v="14"/>
    <x v="1"/>
    <x v="0"/>
    <m/>
  </r>
  <r>
    <n v="20606"/>
    <x v="0"/>
    <x v="0"/>
    <n v="70000"/>
    <n v="0"/>
    <x v="0"/>
    <s v="Professional"/>
    <s v="Yes"/>
    <n v="4"/>
    <x v="4"/>
    <x v="1"/>
    <x v="21"/>
    <x v="0"/>
    <x v="1"/>
    <m/>
  </r>
  <r>
    <n v="19482"/>
    <x v="0"/>
    <x v="1"/>
    <n v="30000"/>
    <n v="1"/>
    <x v="1"/>
    <s v="Clerical"/>
    <s v="Yes"/>
    <n v="1"/>
    <x v="0"/>
    <x v="0"/>
    <x v="20"/>
    <x v="0"/>
    <x v="1"/>
    <m/>
  </r>
  <r>
    <n v="16489"/>
    <x v="0"/>
    <x v="1"/>
    <n v="30000"/>
    <n v="3"/>
    <x v="2"/>
    <s v="Skilled Manual"/>
    <s v="Yes"/>
    <n v="2"/>
    <x v="2"/>
    <x v="1"/>
    <x v="10"/>
    <x v="1"/>
    <x v="0"/>
    <m/>
  </r>
  <r>
    <n v="26944"/>
    <x v="1"/>
    <x v="1"/>
    <n v="90000"/>
    <n v="2"/>
    <x v="2"/>
    <s v="Manual"/>
    <s v="Yes"/>
    <n v="0"/>
    <x v="0"/>
    <x v="0"/>
    <x v="4"/>
    <x v="0"/>
    <x v="1"/>
    <m/>
  </r>
  <r>
    <n v="15682"/>
    <x v="1"/>
    <x v="0"/>
    <n v="80000"/>
    <n v="5"/>
    <x v="0"/>
    <s v="Management"/>
    <s v="Yes"/>
    <n v="2"/>
    <x v="4"/>
    <x v="0"/>
    <x v="24"/>
    <x v="1"/>
    <x v="0"/>
    <m/>
  </r>
  <r>
    <n v="26032"/>
    <x v="0"/>
    <x v="0"/>
    <n v="70000"/>
    <n v="5"/>
    <x v="0"/>
    <s v="Professional"/>
    <s v="Yes"/>
    <n v="4"/>
    <x v="4"/>
    <x v="1"/>
    <x v="3"/>
    <x v="0"/>
    <x v="0"/>
    <m/>
  </r>
  <r>
    <n v="17843"/>
    <x v="1"/>
    <x v="0"/>
    <n v="10000"/>
    <n v="0"/>
    <x v="3"/>
    <s v="Manual"/>
    <s v="No"/>
    <n v="2"/>
    <x v="0"/>
    <x v="0"/>
    <x v="21"/>
    <x v="0"/>
    <x v="0"/>
    <m/>
  </r>
  <r>
    <n v="25559"/>
    <x v="1"/>
    <x v="1"/>
    <n v="20000"/>
    <n v="0"/>
    <x v="0"/>
    <s v="Clerical"/>
    <s v="Yes"/>
    <n v="0"/>
    <x v="0"/>
    <x v="1"/>
    <x v="37"/>
    <x v="2"/>
    <x v="1"/>
    <m/>
  </r>
  <r>
    <n v="16209"/>
    <x v="1"/>
    <x v="0"/>
    <n v="50000"/>
    <n v="0"/>
    <x v="4"/>
    <s v="Skilled Manual"/>
    <s v="Yes"/>
    <n v="0"/>
    <x v="3"/>
    <x v="0"/>
    <x v="4"/>
    <x v="0"/>
    <x v="0"/>
    <m/>
  </r>
  <r>
    <n v="11147"/>
    <x v="0"/>
    <x v="1"/>
    <n v="60000"/>
    <n v="2"/>
    <x v="4"/>
    <s v="Management"/>
    <s v="Yes"/>
    <n v="1"/>
    <x v="0"/>
    <x v="1"/>
    <x v="41"/>
    <x v="1"/>
    <x v="1"/>
    <m/>
  </r>
  <r>
    <n v="15214"/>
    <x v="1"/>
    <x v="0"/>
    <n v="100000"/>
    <n v="0"/>
    <x v="4"/>
    <s v="Management"/>
    <s v="No"/>
    <n v="1"/>
    <x v="3"/>
    <x v="1"/>
    <x v="32"/>
    <x v="0"/>
    <x v="1"/>
    <m/>
  </r>
  <r>
    <n v="11453"/>
    <x v="1"/>
    <x v="1"/>
    <n v="80000"/>
    <n v="0"/>
    <x v="0"/>
    <s v="Professional"/>
    <s v="No"/>
    <n v="3"/>
    <x v="4"/>
    <x v="1"/>
    <x v="6"/>
    <x v="0"/>
    <x v="1"/>
    <m/>
  </r>
  <r>
    <n v="24584"/>
    <x v="1"/>
    <x v="1"/>
    <n v="60000"/>
    <n v="0"/>
    <x v="0"/>
    <s v="Professional"/>
    <s v="No"/>
    <n v="3"/>
    <x v="1"/>
    <x v="1"/>
    <x v="23"/>
    <x v="0"/>
    <x v="0"/>
    <m/>
  </r>
  <r>
    <n v="12585"/>
    <x v="0"/>
    <x v="1"/>
    <n v="10000"/>
    <n v="1"/>
    <x v="2"/>
    <s v="Manual"/>
    <s v="Yes"/>
    <n v="0"/>
    <x v="1"/>
    <x v="1"/>
    <x v="40"/>
    <x v="2"/>
    <x v="1"/>
    <m/>
  </r>
  <r>
    <n v="18626"/>
    <x v="1"/>
    <x v="1"/>
    <n v="40000"/>
    <n v="2"/>
    <x v="1"/>
    <s v="Clerical"/>
    <s v="Yes"/>
    <n v="0"/>
    <x v="3"/>
    <x v="0"/>
    <x v="6"/>
    <x v="0"/>
    <x v="1"/>
    <m/>
  </r>
  <r>
    <n v="29298"/>
    <x v="1"/>
    <x v="0"/>
    <n v="60000"/>
    <n v="1"/>
    <x v="1"/>
    <s v="Skilled Manual"/>
    <s v="Yes"/>
    <n v="1"/>
    <x v="2"/>
    <x v="1"/>
    <x v="30"/>
    <x v="0"/>
    <x v="1"/>
    <m/>
  </r>
  <r>
    <n v="24842"/>
    <x v="1"/>
    <x v="0"/>
    <n v="90000"/>
    <n v="3"/>
    <x v="2"/>
    <s v="Professional"/>
    <s v="No"/>
    <n v="1"/>
    <x v="1"/>
    <x v="0"/>
    <x v="36"/>
    <x v="0"/>
    <x v="0"/>
    <m/>
  </r>
  <r>
    <n v="15657"/>
    <x v="0"/>
    <x v="1"/>
    <n v="30000"/>
    <n v="3"/>
    <x v="4"/>
    <s v="Clerical"/>
    <s v="Yes"/>
    <n v="0"/>
    <x v="0"/>
    <x v="0"/>
    <x v="30"/>
    <x v="0"/>
    <x v="1"/>
    <m/>
  </r>
  <r>
    <n v="11415"/>
    <x v="1"/>
    <x v="1"/>
    <n v="90000"/>
    <n v="5"/>
    <x v="1"/>
    <s v="Professional"/>
    <s v="No"/>
    <n v="2"/>
    <x v="4"/>
    <x v="0"/>
    <x v="24"/>
    <x v="1"/>
    <x v="0"/>
    <m/>
  </r>
  <r>
    <n v="28729"/>
    <x v="1"/>
    <x v="0"/>
    <n v="20000"/>
    <n v="0"/>
    <x v="3"/>
    <s v="Manual"/>
    <s v="Yes"/>
    <n v="2"/>
    <x v="3"/>
    <x v="0"/>
    <x v="22"/>
    <x v="2"/>
    <x v="1"/>
    <m/>
  </r>
  <r>
    <n v="22633"/>
    <x v="1"/>
    <x v="0"/>
    <n v="40000"/>
    <n v="0"/>
    <x v="4"/>
    <s v="Clerical"/>
    <s v="Yes"/>
    <n v="0"/>
    <x v="0"/>
    <x v="0"/>
    <x v="34"/>
    <x v="0"/>
    <x v="1"/>
    <m/>
  </r>
  <r>
    <n v="25649"/>
    <x v="1"/>
    <x v="0"/>
    <n v="30000"/>
    <n v="3"/>
    <x v="1"/>
    <s v="Clerical"/>
    <s v="Yes"/>
    <n v="0"/>
    <x v="0"/>
    <x v="0"/>
    <x v="0"/>
    <x v="0"/>
    <x v="1"/>
    <m/>
  </r>
  <r>
    <n v="14669"/>
    <x v="0"/>
    <x v="0"/>
    <n v="80000"/>
    <n v="4"/>
    <x v="4"/>
    <s v="Management"/>
    <s v="Yes"/>
    <n v="1"/>
    <x v="0"/>
    <x v="1"/>
    <x v="4"/>
    <x v="0"/>
    <x v="0"/>
    <m/>
  </r>
  <r>
    <n v="19299"/>
    <x v="0"/>
    <x v="0"/>
    <n v="50000"/>
    <n v="0"/>
    <x v="4"/>
    <s v="Skilled Manual"/>
    <s v="Yes"/>
    <n v="0"/>
    <x v="0"/>
    <x v="0"/>
    <x v="4"/>
    <x v="0"/>
    <x v="1"/>
    <m/>
  </r>
  <r>
    <n v="20946"/>
    <x v="1"/>
    <x v="0"/>
    <n v="30000"/>
    <n v="0"/>
    <x v="1"/>
    <s v="Clerical"/>
    <s v="No"/>
    <n v="1"/>
    <x v="1"/>
    <x v="0"/>
    <x v="25"/>
    <x v="2"/>
    <x v="0"/>
    <m/>
  </r>
  <r>
    <n v="11451"/>
    <x v="1"/>
    <x v="1"/>
    <n v="70000"/>
    <n v="0"/>
    <x v="0"/>
    <s v="Professional"/>
    <s v="No"/>
    <n v="4"/>
    <x v="4"/>
    <x v="1"/>
    <x v="23"/>
    <x v="0"/>
    <x v="1"/>
    <m/>
  </r>
  <r>
    <n v="25553"/>
    <x v="0"/>
    <x v="1"/>
    <n v="30000"/>
    <n v="1"/>
    <x v="0"/>
    <s v="Clerical"/>
    <s v="Yes"/>
    <n v="0"/>
    <x v="0"/>
    <x v="0"/>
    <x v="27"/>
    <x v="1"/>
    <x v="1"/>
    <m/>
  </r>
  <r>
    <n v="27951"/>
    <x v="1"/>
    <x v="1"/>
    <n v="80000"/>
    <n v="4"/>
    <x v="1"/>
    <s v="Professional"/>
    <s v="No"/>
    <n v="2"/>
    <x v="1"/>
    <x v="0"/>
    <x v="9"/>
    <x v="0"/>
    <x v="1"/>
    <m/>
  </r>
  <r>
    <n v="25026"/>
    <x v="0"/>
    <x v="1"/>
    <n v="20000"/>
    <n v="2"/>
    <x v="3"/>
    <s v="Clerical"/>
    <s v="Yes"/>
    <n v="3"/>
    <x v="2"/>
    <x v="1"/>
    <x v="9"/>
    <x v="0"/>
    <x v="0"/>
    <m/>
  </r>
  <r>
    <n v="13673"/>
    <x v="1"/>
    <x v="0"/>
    <n v="20000"/>
    <n v="0"/>
    <x v="3"/>
    <s v="Manual"/>
    <s v="No"/>
    <n v="2"/>
    <x v="0"/>
    <x v="0"/>
    <x v="37"/>
    <x v="2"/>
    <x v="0"/>
    <m/>
  </r>
  <r>
    <n v="16043"/>
    <x v="1"/>
    <x v="1"/>
    <n v="10000"/>
    <n v="1"/>
    <x v="0"/>
    <s v="Manual"/>
    <s v="Yes"/>
    <n v="0"/>
    <x v="0"/>
    <x v="0"/>
    <x v="28"/>
    <x v="0"/>
    <x v="0"/>
    <m/>
  </r>
  <r>
    <n v="22399"/>
    <x v="1"/>
    <x v="1"/>
    <n v="10000"/>
    <n v="0"/>
    <x v="1"/>
    <s v="Manual"/>
    <s v="Yes"/>
    <n v="1"/>
    <x v="3"/>
    <x v="1"/>
    <x v="22"/>
    <x v="2"/>
    <x v="1"/>
    <m/>
  </r>
  <r>
    <n v="27696"/>
    <x v="0"/>
    <x v="1"/>
    <n v="60000"/>
    <n v="1"/>
    <x v="0"/>
    <s v="Professional"/>
    <s v="Yes"/>
    <n v="1"/>
    <x v="2"/>
    <x v="1"/>
    <x v="1"/>
    <x v="0"/>
    <x v="1"/>
    <m/>
  </r>
  <r>
    <n v="25313"/>
    <x v="1"/>
    <x v="1"/>
    <n v="10000"/>
    <n v="0"/>
    <x v="3"/>
    <s v="Manual"/>
    <s v="No"/>
    <n v="2"/>
    <x v="3"/>
    <x v="0"/>
    <x v="11"/>
    <x v="0"/>
    <x v="0"/>
    <m/>
  </r>
  <r>
    <n v="13813"/>
    <x v="0"/>
    <x v="0"/>
    <n v="30000"/>
    <n v="3"/>
    <x v="1"/>
    <s v="Clerical"/>
    <s v="No"/>
    <n v="0"/>
    <x v="0"/>
    <x v="0"/>
    <x v="0"/>
    <x v="0"/>
    <x v="0"/>
    <m/>
  </r>
  <r>
    <n v="18711"/>
    <x v="1"/>
    <x v="0"/>
    <n v="70000"/>
    <n v="5"/>
    <x v="0"/>
    <s v="Professional"/>
    <s v="Yes"/>
    <n v="4"/>
    <x v="4"/>
    <x v="1"/>
    <x v="32"/>
    <x v="0"/>
    <x v="0"/>
    <m/>
  </r>
  <r>
    <n v="19650"/>
    <x v="0"/>
    <x v="0"/>
    <n v="30000"/>
    <n v="2"/>
    <x v="1"/>
    <s v="Clerical"/>
    <s v="No"/>
    <n v="2"/>
    <x v="0"/>
    <x v="1"/>
    <x v="41"/>
    <x v="1"/>
    <x v="0"/>
    <m/>
  </r>
  <r>
    <n v="14135"/>
    <x v="0"/>
    <x v="1"/>
    <n v="20000"/>
    <n v="1"/>
    <x v="1"/>
    <s v="Manual"/>
    <s v="Yes"/>
    <n v="0"/>
    <x v="3"/>
    <x v="0"/>
    <x v="11"/>
    <x v="0"/>
    <x v="0"/>
    <m/>
  </r>
  <r>
    <n v="12833"/>
    <x v="1"/>
    <x v="0"/>
    <n v="20000"/>
    <n v="3"/>
    <x v="2"/>
    <s v="Manual"/>
    <s v="Yes"/>
    <n v="1"/>
    <x v="0"/>
    <x v="0"/>
    <x v="0"/>
    <x v="0"/>
    <x v="1"/>
    <m/>
  </r>
  <r>
    <n v="26849"/>
    <x v="0"/>
    <x v="1"/>
    <n v="10000"/>
    <n v="3"/>
    <x v="3"/>
    <s v="Manual"/>
    <s v="Yes"/>
    <n v="2"/>
    <x v="0"/>
    <x v="0"/>
    <x v="1"/>
    <x v="0"/>
    <x v="0"/>
    <m/>
  </r>
  <r>
    <n v="20962"/>
    <x v="0"/>
    <x v="0"/>
    <n v="20000"/>
    <n v="1"/>
    <x v="4"/>
    <s v="Clerical"/>
    <s v="Yes"/>
    <n v="0"/>
    <x v="0"/>
    <x v="0"/>
    <x v="12"/>
    <x v="0"/>
    <x v="0"/>
    <m/>
  </r>
  <r>
    <n v="28915"/>
    <x v="1"/>
    <x v="1"/>
    <n v="80000"/>
    <n v="5"/>
    <x v="2"/>
    <s v="Management"/>
    <s v="Yes"/>
    <n v="3"/>
    <x v="4"/>
    <x v="0"/>
    <x v="42"/>
    <x v="1"/>
    <x v="0"/>
    <m/>
  </r>
  <r>
    <n v="22830"/>
    <x v="0"/>
    <x v="1"/>
    <n v="120000"/>
    <n v="4"/>
    <x v="1"/>
    <s v="Management"/>
    <s v="Yes"/>
    <n v="3"/>
    <x v="4"/>
    <x v="0"/>
    <x v="16"/>
    <x v="1"/>
    <x v="0"/>
    <m/>
  </r>
  <r>
    <n v="14777"/>
    <x v="0"/>
    <x v="0"/>
    <n v="40000"/>
    <n v="0"/>
    <x v="0"/>
    <s v="Clerical"/>
    <s v="Yes"/>
    <n v="0"/>
    <x v="0"/>
    <x v="0"/>
    <x v="13"/>
    <x v="0"/>
    <x v="1"/>
    <m/>
  </r>
  <r>
    <n v="12591"/>
    <x v="0"/>
    <x v="0"/>
    <n v="30000"/>
    <n v="4"/>
    <x v="4"/>
    <s v="Clerical"/>
    <s v="Yes"/>
    <n v="0"/>
    <x v="0"/>
    <x v="0"/>
    <x v="12"/>
    <x v="0"/>
    <x v="0"/>
    <m/>
  </r>
  <r>
    <n v="24174"/>
    <x v="0"/>
    <x v="1"/>
    <n v="20000"/>
    <n v="0"/>
    <x v="0"/>
    <s v="Clerical"/>
    <s v="Yes"/>
    <n v="0"/>
    <x v="0"/>
    <x v="1"/>
    <x v="40"/>
    <x v="2"/>
    <x v="1"/>
    <m/>
  </r>
  <r>
    <n v="24611"/>
    <x v="1"/>
    <x v="1"/>
    <n v="90000"/>
    <n v="0"/>
    <x v="0"/>
    <s v="Professional"/>
    <s v="No"/>
    <n v="4"/>
    <x v="4"/>
    <x v="1"/>
    <x v="11"/>
    <x v="0"/>
    <x v="1"/>
    <m/>
  </r>
  <r>
    <n v="11340"/>
    <x v="0"/>
    <x v="0"/>
    <n v="10000"/>
    <n v="1"/>
    <x v="4"/>
    <s v="Clerical"/>
    <s v="Yes"/>
    <n v="0"/>
    <x v="0"/>
    <x v="0"/>
    <x v="43"/>
    <x v="1"/>
    <x v="1"/>
    <m/>
  </r>
  <r>
    <n v="25693"/>
    <x v="1"/>
    <x v="0"/>
    <n v="30000"/>
    <n v="5"/>
    <x v="4"/>
    <s v="Clerical"/>
    <s v="Yes"/>
    <n v="0"/>
    <x v="0"/>
    <x v="0"/>
    <x v="20"/>
    <x v="0"/>
    <x v="1"/>
    <m/>
  </r>
  <r>
    <n v="25555"/>
    <x v="0"/>
    <x v="0"/>
    <n v="10000"/>
    <n v="0"/>
    <x v="1"/>
    <s v="Manual"/>
    <s v="No"/>
    <n v="1"/>
    <x v="0"/>
    <x v="1"/>
    <x v="22"/>
    <x v="2"/>
    <x v="1"/>
    <m/>
  </r>
  <r>
    <n v="22006"/>
    <x v="0"/>
    <x v="1"/>
    <n v="70000"/>
    <n v="5"/>
    <x v="1"/>
    <s v="Skilled Manual"/>
    <s v="Yes"/>
    <n v="3"/>
    <x v="2"/>
    <x v="1"/>
    <x v="30"/>
    <x v="0"/>
    <x v="0"/>
    <m/>
  </r>
  <r>
    <n v="20060"/>
    <x v="1"/>
    <x v="0"/>
    <n v="30000"/>
    <n v="0"/>
    <x v="2"/>
    <s v="Manual"/>
    <s v="No"/>
    <n v="1"/>
    <x v="1"/>
    <x v="0"/>
    <x v="17"/>
    <x v="0"/>
    <x v="1"/>
    <m/>
  </r>
  <r>
    <n v="17702"/>
    <x v="0"/>
    <x v="1"/>
    <n v="10000"/>
    <n v="1"/>
    <x v="4"/>
    <s v="Manual"/>
    <s v="Yes"/>
    <n v="0"/>
    <x v="0"/>
    <x v="0"/>
    <x v="34"/>
    <x v="0"/>
    <x v="0"/>
    <m/>
  </r>
  <r>
    <n v="12503"/>
    <x v="1"/>
    <x v="0"/>
    <n v="30000"/>
    <n v="3"/>
    <x v="1"/>
    <s v="Clerical"/>
    <s v="Yes"/>
    <n v="2"/>
    <x v="0"/>
    <x v="0"/>
    <x v="40"/>
    <x v="2"/>
    <x v="0"/>
    <m/>
  </r>
  <r>
    <n v="23908"/>
    <x v="1"/>
    <x v="1"/>
    <n v="30000"/>
    <n v="1"/>
    <x v="0"/>
    <s v="Clerical"/>
    <s v="No"/>
    <n v="1"/>
    <x v="0"/>
    <x v="0"/>
    <x v="32"/>
    <x v="0"/>
    <x v="1"/>
    <m/>
  </r>
  <r>
    <n v="22527"/>
    <x v="1"/>
    <x v="0"/>
    <n v="20000"/>
    <n v="0"/>
    <x v="2"/>
    <s v="Manual"/>
    <s v="No"/>
    <n v="1"/>
    <x v="1"/>
    <x v="0"/>
    <x v="19"/>
    <x v="2"/>
    <x v="0"/>
    <m/>
  </r>
  <r>
    <n v="19057"/>
    <x v="0"/>
    <x v="0"/>
    <n v="120000"/>
    <n v="3"/>
    <x v="0"/>
    <s v="Management"/>
    <s v="No"/>
    <n v="2"/>
    <x v="4"/>
    <x v="0"/>
    <x v="31"/>
    <x v="0"/>
    <x v="1"/>
    <m/>
  </r>
  <r>
    <n v="18494"/>
    <x v="0"/>
    <x v="1"/>
    <n v="110000"/>
    <n v="5"/>
    <x v="0"/>
    <s v="Management"/>
    <s v="Yes"/>
    <n v="4"/>
    <x v="1"/>
    <x v="1"/>
    <x v="28"/>
    <x v="0"/>
    <x v="1"/>
    <m/>
  </r>
  <r>
    <n v="11249"/>
    <x v="0"/>
    <x v="0"/>
    <n v="130000"/>
    <n v="3"/>
    <x v="1"/>
    <s v="Professional"/>
    <s v="Yes"/>
    <n v="3"/>
    <x v="0"/>
    <x v="0"/>
    <x v="36"/>
    <x v="0"/>
    <x v="1"/>
    <m/>
  </r>
  <r>
    <n v="21568"/>
    <x v="0"/>
    <x v="0"/>
    <n v="100000"/>
    <n v="0"/>
    <x v="2"/>
    <s v="Management"/>
    <s v="Yes"/>
    <n v="4"/>
    <x v="4"/>
    <x v="1"/>
    <x v="17"/>
    <x v="0"/>
    <x v="1"/>
    <m/>
  </r>
  <r>
    <n v="13981"/>
    <x v="0"/>
    <x v="0"/>
    <n v="10000"/>
    <n v="5"/>
    <x v="2"/>
    <s v="Skilled Manual"/>
    <s v="No"/>
    <n v="3"/>
    <x v="3"/>
    <x v="1"/>
    <x v="24"/>
    <x v="1"/>
    <x v="0"/>
    <m/>
  </r>
  <r>
    <n v="23432"/>
    <x v="1"/>
    <x v="1"/>
    <n v="70000"/>
    <n v="0"/>
    <x v="0"/>
    <s v="Professional"/>
    <s v="Yes"/>
    <n v="1"/>
    <x v="2"/>
    <x v="1"/>
    <x v="34"/>
    <x v="0"/>
    <x v="1"/>
    <m/>
  </r>
  <r>
    <n v="22931"/>
    <x v="0"/>
    <x v="1"/>
    <n v="100000"/>
    <n v="5"/>
    <x v="4"/>
    <s v="Management"/>
    <s v="No"/>
    <n v="1"/>
    <x v="3"/>
    <x v="1"/>
    <x v="44"/>
    <x v="1"/>
    <x v="1"/>
    <m/>
  </r>
  <r>
    <n v="18172"/>
    <x v="0"/>
    <x v="1"/>
    <n v="130000"/>
    <n v="4"/>
    <x v="2"/>
    <s v="Professional"/>
    <s v="Yes"/>
    <n v="3"/>
    <x v="0"/>
    <x v="0"/>
    <x v="10"/>
    <x v="1"/>
    <x v="0"/>
    <m/>
  </r>
  <r>
    <n v="12666"/>
    <x v="1"/>
    <x v="1"/>
    <n v="60000"/>
    <n v="0"/>
    <x v="0"/>
    <s v="Professional"/>
    <s v="No"/>
    <n v="4"/>
    <x v="1"/>
    <x v="1"/>
    <x v="23"/>
    <x v="0"/>
    <x v="0"/>
    <m/>
  </r>
  <r>
    <n v="20598"/>
    <x v="0"/>
    <x v="1"/>
    <n v="100000"/>
    <n v="3"/>
    <x v="3"/>
    <s v="Professional"/>
    <s v="Yes"/>
    <n v="0"/>
    <x v="4"/>
    <x v="0"/>
    <x v="14"/>
    <x v="1"/>
    <x v="1"/>
    <m/>
  </r>
  <r>
    <n v="21375"/>
    <x v="1"/>
    <x v="1"/>
    <n v="20000"/>
    <n v="2"/>
    <x v="3"/>
    <s v="Clerical"/>
    <s v="Yes"/>
    <n v="2"/>
    <x v="2"/>
    <x v="1"/>
    <x v="42"/>
    <x v="1"/>
    <x v="0"/>
    <m/>
  </r>
  <r>
    <n v="20839"/>
    <x v="1"/>
    <x v="0"/>
    <n v="30000"/>
    <n v="3"/>
    <x v="4"/>
    <s v="Clerical"/>
    <s v="Yes"/>
    <n v="0"/>
    <x v="0"/>
    <x v="0"/>
    <x v="15"/>
    <x v="0"/>
    <x v="1"/>
    <m/>
  </r>
  <r>
    <n v="21738"/>
    <x v="0"/>
    <x v="1"/>
    <n v="20000"/>
    <n v="1"/>
    <x v="4"/>
    <s v="Clerical"/>
    <s v="Yes"/>
    <n v="0"/>
    <x v="0"/>
    <x v="0"/>
    <x v="1"/>
    <x v="0"/>
    <x v="0"/>
    <m/>
  </r>
  <r>
    <n v="14164"/>
    <x v="1"/>
    <x v="0"/>
    <n v="50000"/>
    <n v="0"/>
    <x v="4"/>
    <s v="Skilled Manual"/>
    <s v="Yes"/>
    <n v="0"/>
    <x v="0"/>
    <x v="0"/>
    <x v="4"/>
    <x v="0"/>
    <x v="1"/>
    <m/>
  </r>
  <r>
    <n v="14193"/>
    <x v="1"/>
    <x v="0"/>
    <n v="100000"/>
    <n v="3"/>
    <x v="1"/>
    <s v="Management"/>
    <s v="Yes"/>
    <n v="4"/>
    <x v="4"/>
    <x v="0"/>
    <x v="16"/>
    <x v="1"/>
    <x v="0"/>
    <m/>
  </r>
  <r>
    <n v="12705"/>
    <x v="0"/>
    <x v="1"/>
    <n v="150000"/>
    <n v="0"/>
    <x v="0"/>
    <s v="Management"/>
    <s v="Yes"/>
    <n v="4"/>
    <x v="0"/>
    <x v="1"/>
    <x v="34"/>
    <x v="0"/>
    <x v="1"/>
    <m/>
  </r>
  <r>
    <n v="22672"/>
    <x v="1"/>
    <x v="0"/>
    <n v="30000"/>
    <n v="2"/>
    <x v="1"/>
    <s v="Clerical"/>
    <s v="Yes"/>
    <n v="0"/>
    <x v="0"/>
    <x v="0"/>
    <x v="1"/>
    <x v="0"/>
    <x v="0"/>
    <m/>
  </r>
  <r>
    <n v="26219"/>
    <x v="0"/>
    <x v="0"/>
    <n v="40000"/>
    <n v="1"/>
    <x v="0"/>
    <s v="Skilled Manual"/>
    <s v="Yes"/>
    <n v="1"/>
    <x v="3"/>
    <x v="0"/>
    <x v="6"/>
    <x v="0"/>
    <x v="1"/>
    <m/>
  </r>
  <r>
    <n v="28468"/>
    <x v="0"/>
    <x v="0"/>
    <n v="10000"/>
    <n v="2"/>
    <x v="1"/>
    <s v="Manual"/>
    <s v="Yes"/>
    <n v="0"/>
    <x v="3"/>
    <x v="0"/>
    <x v="36"/>
    <x v="0"/>
    <x v="0"/>
    <m/>
  </r>
  <r>
    <n v="23419"/>
    <x v="1"/>
    <x v="0"/>
    <n v="70000"/>
    <n v="5"/>
    <x v="0"/>
    <s v="Professional"/>
    <s v="Yes"/>
    <n v="3"/>
    <x v="4"/>
    <x v="1"/>
    <x v="32"/>
    <x v="0"/>
    <x v="0"/>
    <m/>
  </r>
  <r>
    <n v="17964"/>
    <x v="0"/>
    <x v="1"/>
    <n v="40000"/>
    <n v="0"/>
    <x v="4"/>
    <s v="Clerical"/>
    <s v="Yes"/>
    <n v="0"/>
    <x v="0"/>
    <x v="0"/>
    <x v="34"/>
    <x v="0"/>
    <x v="1"/>
    <m/>
  </r>
  <r>
    <n v="20919"/>
    <x v="1"/>
    <x v="0"/>
    <n v="30000"/>
    <n v="2"/>
    <x v="1"/>
    <s v="Clerical"/>
    <s v="Yes"/>
    <n v="2"/>
    <x v="0"/>
    <x v="0"/>
    <x v="0"/>
    <x v="0"/>
    <x v="0"/>
    <m/>
  </r>
  <r>
    <n v="20927"/>
    <x v="1"/>
    <x v="0"/>
    <n v="20000"/>
    <n v="5"/>
    <x v="2"/>
    <s v="Manual"/>
    <s v="Yes"/>
    <n v="2"/>
    <x v="0"/>
    <x v="0"/>
    <x v="40"/>
    <x v="2"/>
    <x v="0"/>
    <m/>
  </r>
  <r>
    <n v="13133"/>
    <x v="1"/>
    <x v="1"/>
    <n v="100000"/>
    <n v="5"/>
    <x v="0"/>
    <s v="Professional"/>
    <s v="Yes"/>
    <n v="1"/>
    <x v="2"/>
    <x v="1"/>
    <x v="15"/>
    <x v="0"/>
    <x v="1"/>
    <m/>
  </r>
  <r>
    <n v="19626"/>
    <x v="0"/>
    <x v="1"/>
    <n v="70000"/>
    <n v="5"/>
    <x v="1"/>
    <s v="Skilled Manual"/>
    <s v="Yes"/>
    <n v="3"/>
    <x v="2"/>
    <x v="1"/>
    <x v="12"/>
    <x v="0"/>
    <x v="0"/>
    <m/>
  </r>
  <r>
    <n v="21039"/>
    <x v="1"/>
    <x v="0"/>
    <n v="50000"/>
    <n v="0"/>
    <x v="4"/>
    <s v="Skilled Manual"/>
    <s v="No"/>
    <n v="0"/>
    <x v="0"/>
    <x v="0"/>
    <x v="34"/>
    <x v="0"/>
    <x v="1"/>
    <m/>
  </r>
  <r>
    <n v="12231"/>
    <x v="1"/>
    <x v="0"/>
    <n v="10000"/>
    <n v="2"/>
    <x v="1"/>
    <s v="Manual"/>
    <s v="Yes"/>
    <n v="0"/>
    <x v="0"/>
    <x v="0"/>
    <x v="36"/>
    <x v="0"/>
    <x v="1"/>
    <m/>
  </r>
  <r>
    <n v="25665"/>
    <x v="1"/>
    <x v="0"/>
    <n v="20000"/>
    <n v="0"/>
    <x v="2"/>
    <s v="Manual"/>
    <s v="No"/>
    <n v="1"/>
    <x v="3"/>
    <x v="0"/>
    <x v="26"/>
    <x v="2"/>
    <x v="0"/>
    <m/>
  </r>
  <r>
    <n v="24061"/>
    <x v="0"/>
    <x v="1"/>
    <n v="10000"/>
    <n v="4"/>
    <x v="3"/>
    <s v="Manual"/>
    <s v="Yes"/>
    <n v="1"/>
    <x v="0"/>
    <x v="0"/>
    <x v="8"/>
    <x v="0"/>
    <x v="1"/>
    <m/>
  </r>
  <r>
    <n v="26879"/>
    <x v="1"/>
    <x v="0"/>
    <n v="20000"/>
    <n v="0"/>
    <x v="2"/>
    <s v="Manual"/>
    <s v="No"/>
    <n v="1"/>
    <x v="1"/>
    <x v="0"/>
    <x v="25"/>
    <x v="2"/>
    <x v="0"/>
    <m/>
  </r>
  <r>
    <n v="12284"/>
    <x v="0"/>
    <x v="0"/>
    <n v="30000"/>
    <n v="0"/>
    <x v="0"/>
    <s v="Clerical"/>
    <s v="No"/>
    <n v="0"/>
    <x v="0"/>
    <x v="0"/>
    <x v="4"/>
    <x v="0"/>
    <x v="1"/>
    <m/>
  </r>
  <r>
    <n v="26654"/>
    <x v="0"/>
    <x v="0"/>
    <n v="90000"/>
    <n v="1"/>
    <x v="4"/>
    <s v="Management"/>
    <s v="Yes"/>
    <n v="0"/>
    <x v="0"/>
    <x v="1"/>
    <x v="34"/>
    <x v="0"/>
    <x v="1"/>
    <m/>
  </r>
  <r>
    <n v="14545"/>
    <x v="0"/>
    <x v="0"/>
    <n v="10000"/>
    <n v="2"/>
    <x v="1"/>
    <s v="Manual"/>
    <s v="Yes"/>
    <n v="0"/>
    <x v="3"/>
    <x v="0"/>
    <x v="38"/>
    <x v="0"/>
    <x v="0"/>
    <m/>
  </r>
  <r>
    <n v="24201"/>
    <x v="0"/>
    <x v="0"/>
    <n v="10000"/>
    <n v="2"/>
    <x v="2"/>
    <s v="Manual"/>
    <s v="Yes"/>
    <n v="0"/>
    <x v="0"/>
    <x v="0"/>
    <x v="34"/>
    <x v="0"/>
    <x v="1"/>
    <m/>
  </r>
  <r>
    <n v="20625"/>
    <x v="0"/>
    <x v="1"/>
    <n v="100000"/>
    <n v="0"/>
    <x v="2"/>
    <s v="Management"/>
    <s v="Yes"/>
    <n v="3"/>
    <x v="4"/>
    <x v="1"/>
    <x v="11"/>
    <x v="0"/>
    <x v="1"/>
    <m/>
  </r>
  <r>
    <n v="16390"/>
    <x v="1"/>
    <x v="1"/>
    <n v="30000"/>
    <n v="1"/>
    <x v="0"/>
    <s v="Clerical"/>
    <s v="No"/>
    <n v="0"/>
    <x v="0"/>
    <x v="0"/>
    <x v="13"/>
    <x v="0"/>
    <x v="1"/>
    <m/>
  </r>
  <r>
    <n v="14804"/>
    <x v="1"/>
    <x v="0"/>
    <n v="10000"/>
    <n v="3"/>
    <x v="3"/>
    <s v="Manual"/>
    <s v="Yes"/>
    <n v="2"/>
    <x v="0"/>
    <x v="0"/>
    <x v="1"/>
    <x v="0"/>
    <x v="0"/>
    <m/>
  </r>
  <r>
    <n v="12629"/>
    <x v="1"/>
    <x v="1"/>
    <n v="20000"/>
    <n v="1"/>
    <x v="1"/>
    <s v="Manual"/>
    <s v="No"/>
    <n v="0"/>
    <x v="0"/>
    <x v="0"/>
    <x v="34"/>
    <x v="0"/>
    <x v="0"/>
    <m/>
  </r>
  <r>
    <n v="14696"/>
    <x v="1"/>
    <x v="1"/>
    <n v="10000"/>
    <n v="0"/>
    <x v="3"/>
    <s v="Manual"/>
    <s v="No"/>
    <n v="2"/>
    <x v="0"/>
    <x v="0"/>
    <x v="17"/>
    <x v="0"/>
    <x v="0"/>
    <m/>
  </r>
  <r>
    <n v="22005"/>
    <x v="0"/>
    <x v="0"/>
    <n v="70000"/>
    <n v="5"/>
    <x v="1"/>
    <s v="Skilled Manual"/>
    <s v="No"/>
    <n v="3"/>
    <x v="2"/>
    <x v="1"/>
    <x v="30"/>
    <x v="0"/>
    <x v="0"/>
    <m/>
  </r>
  <r>
    <n v="14544"/>
    <x v="1"/>
    <x v="1"/>
    <n v="10000"/>
    <n v="1"/>
    <x v="1"/>
    <s v="Manual"/>
    <s v="Yes"/>
    <n v="0"/>
    <x v="0"/>
    <x v="0"/>
    <x v="38"/>
    <x v="0"/>
    <x v="0"/>
    <m/>
  </r>
  <r>
    <n v="14312"/>
    <x v="0"/>
    <x v="0"/>
    <n v="60000"/>
    <n v="1"/>
    <x v="1"/>
    <s v="Skilled Manual"/>
    <s v="Yes"/>
    <n v="1"/>
    <x v="2"/>
    <x v="1"/>
    <x v="12"/>
    <x v="0"/>
    <x v="0"/>
    <m/>
  </r>
  <r>
    <n v="29120"/>
    <x v="1"/>
    <x v="0"/>
    <n v="100000"/>
    <n v="1"/>
    <x v="0"/>
    <s v="Management"/>
    <s v="Yes"/>
    <n v="4"/>
    <x v="1"/>
    <x v="1"/>
    <x v="28"/>
    <x v="0"/>
    <x v="0"/>
    <m/>
  </r>
  <r>
    <n v="24187"/>
    <x v="1"/>
    <x v="0"/>
    <n v="30000"/>
    <n v="3"/>
    <x v="4"/>
    <s v="Clerical"/>
    <s v="No"/>
    <n v="0"/>
    <x v="0"/>
    <x v="0"/>
    <x v="30"/>
    <x v="0"/>
    <x v="1"/>
    <m/>
  </r>
  <r>
    <n v="15758"/>
    <x v="0"/>
    <x v="1"/>
    <n v="130000"/>
    <n v="0"/>
    <x v="4"/>
    <s v="Management"/>
    <s v="Yes"/>
    <n v="0"/>
    <x v="2"/>
    <x v="1"/>
    <x v="28"/>
    <x v="0"/>
    <x v="0"/>
    <m/>
  </r>
  <r>
    <n v="29094"/>
    <x v="0"/>
    <x v="1"/>
    <n v="30000"/>
    <n v="3"/>
    <x v="2"/>
    <s v="Skilled Manual"/>
    <s v="Yes"/>
    <n v="2"/>
    <x v="2"/>
    <x v="1"/>
    <x v="9"/>
    <x v="0"/>
    <x v="1"/>
    <m/>
  </r>
  <r>
    <n v="28319"/>
    <x v="1"/>
    <x v="0"/>
    <n v="60000"/>
    <n v="1"/>
    <x v="1"/>
    <s v="Skilled Manual"/>
    <s v="No"/>
    <n v="1"/>
    <x v="0"/>
    <x v="1"/>
    <x v="30"/>
    <x v="0"/>
    <x v="1"/>
    <m/>
  </r>
  <r>
    <n v="16406"/>
    <x v="0"/>
    <x v="1"/>
    <n v="40000"/>
    <n v="0"/>
    <x v="0"/>
    <s v="Clerical"/>
    <s v="No"/>
    <n v="0"/>
    <x v="0"/>
    <x v="0"/>
    <x v="13"/>
    <x v="0"/>
    <x v="1"/>
    <m/>
  </r>
  <r>
    <n v="20923"/>
    <x v="0"/>
    <x v="0"/>
    <n v="40000"/>
    <n v="1"/>
    <x v="0"/>
    <s v="Skilled Manual"/>
    <s v="Yes"/>
    <n v="0"/>
    <x v="0"/>
    <x v="0"/>
    <x v="0"/>
    <x v="0"/>
    <x v="1"/>
    <m/>
  </r>
  <r>
    <n v="11378"/>
    <x v="1"/>
    <x v="0"/>
    <n v="10000"/>
    <n v="1"/>
    <x v="2"/>
    <s v="Manual"/>
    <s v="No"/>
    <n v="1"/>
    <x v="1"/>
    <x v="0"/>
    <x v="30"/>
    <x v="0"/>
    <x v="1"/>
    <m/>
  </r>
  <r>
    <n v="20851"/>
    <x v="1"/>
    <x v="1"/>
    <n v="20000"/>
    <n v="0"/>
    <x v="1"/>
    <s v="Manual"/>
    <s v="No"/>
    <n v="1"/>
    <x v="1"/>
    <x v="0"/>
    <x v="4"/>
    <x v="0"/>
    <x v="1"/>
    <m/>
  </r>
  <r>
    <n v="21557"/>
    <x v="1"/>
    <x v="0"/>
    <n v="110000"/>
    <n v="0"/>
    <x v="1"/>
    <s v="Management"/>
    <s v="Yes"/>
    <n v="3"/>
    <x v="4"/>
    <x v="1"/>
    <x v="21"/>
    <x v="0"/>
    <x v="1"/>
    <m/>
  </r>
  <r>
    <n v="26663"/>
    <x v="1"/>
    <x v="0"/>
    <n v="60000"/>
    <n v="2"/>
    <x v="0"/>
    <s v="Professional"/>
    <s v="No"/>
    <n v="1"/>
    <x v="0"/>
    <x v="1"/>
    <x v="32"/>
    <x v="0"/>
    <x v="1"/>
    <m/>
  </r>
  <r>
    <n v="11896"/>
    <x v="0"/>
    <x v="1"/>
    <n v="100000"/>
    <n v="1"/>
    <x v="4"/>
    <s v="Management"/>
    <s v="Yes"/>
    <n v="0"/>
    <x v="1"/>
    <x v="1"/>
    <x v="4"/>
    <x v="0"/>
    <x v="1"/>
    <m/>
  </r>
  <r>
    <n v="14189"/>
    <x v="0"/>
    <x v="0"/>
    <n v="90000"/>
    <n v="4"/>
    <x v="2"/>
    <s v="Professional"/>
    <s v="No"/>
    <n v="2"/>
    <x v="1"/>
    <x v="0"/>
    <x v="9"/>
    <x v="0"/>
    <x v="1"/>
    <m/>
  </r>
  <r>
    <n v="13136"/>
    <x v="0"/>
    <x v="0"/>
    <n v="30000"/>
    <n v="2"/>
    <x v="1"/>
    <s v="Clerical"/>
    <s v="No"/>
    <n v="2"/>
    <x v="2"/>
    <x v="1"/>
    <x v="45"/>
    <x v="1"/>
    <x v="0"/>
    <m/>
  </r>
  <r>
    <n v="25906"/>
    <x v="1"/>
    <x v="0"/>
    <n v="10000"/>
    <n v="5"/>
    <x v="2"/>
    <s v="Skilled Manual"/>
    <s v="No"/>
    <n v="2"/>
    <x v="3"/>
    <x v="1"/>
    <x v="24"/>
    <x v="1"/>
    <x v="0"/>
    <m/>
  </r>
  <r>
    <n v="17926"/>
    <x v="1"/>
    <x v="0"/>
    <n v="40000"/>
    <n v="0"/>
    <x v="0"/>
    <s v="Clerical"/>
    <s v="No"/>
    <n v="0"/>
    <x v="0"/>
    <x v="1"/>
    <x v="26"/>
    <x v="2"/>
    <x v="1"/>
    <m/>
  </r>
  <r>
    <n v="26928"/>
    <x v="1"/>
    <x v="1"/>
    <n v="30000"/>
    <n v="1"/>
    <x v="0"/>
    <s v="Clerical"/>
    <s v="Yes"/>
    <n v="0"/>
    <x v="0"/>
    <x v="0"/>
    <x v="24"/>
    <x v="1"/>
    <x v="1"/>
    <m/>
  </r>
  <r>
    <n v="20897"/>
    <x v="0"/>
    <x v="0"/>
    <n v="30000"/>
    <n v="1"/>
    <x v="0"/>
    <s v="Skilled Manual"/>
    <s v="Yes"/>
    <n v="2"/>
    <x v="0"/>
    <x v="0"/>
    <x v="8"/>
    <x v="0"/>
    <x v="0"/>
    <m/>
  </r>
  <r>
    <n v="28207"/>
    <x v="0"/>
    <x v="1"/>
    <n v="80000"/>
    <n v="4"/>
    <x v="4"/>
    <s v="Management"/>
    <s v="Yes"/>
    <n v="1"/>
    <x v="0"/>
    <x v="1"/>
    <x v="4"/>
    <x v="0"/>
    <x v="1"/>
    <m/>
  </r>
  <r>
    <n v="25923"/>
    <x v="1"/>
    <x v="1"/>
    <n v="10000"/>
    <n v="2"/>
    <x v="3"/>
    <s v="Clerical"/>
    <s v="Yes"/>
    <n v="2"/>
    <x v="2"/>
    <x v="1"/>
    <x v="7"/>
    <x v="1"/>
    <x v="0"/>
    <m/>
  </r>
  <r>
    <n v="11000"/>
    <x v="0"/>
    <x v="1"/>
    <n v="90000"/>
    <n v="2"/>
    <x v="0"/>
    <s v="Professional"/>
    <s v="Yes"/>
    <n v="0"/>
    <x v="3"/>
    <x v="1"/>
    <x v="8"/>
    <x v="0"/>
    <x v="1"/>
    <m/>
  </r>
  <r>
    <n v="20974"/>
    <x v="0"/>
    <x v="1"/>
    <n v="10000"/>
    <n v="2"/>
    <x v="0"/>
    <s v="Clerical"/>
    <s v="Yes"/>
    <n v="1"/>
    <x v="0"/>
    <x v="0"/>
    <x v="29"/>
    <x v="1"/>
    <x v="0"/>
    <m/>
  </r>
  <r>
    <n v="28758"/>
    <x v="0"/>
    <x v="1"/>
    <n v="40000"/>
    <n v="2"/>
    <x v="1"/>
    <s v="Clerical"/>
    <s v="Yes"/>
    <n v="1"/>
    <x v="3"/>
    <x v="0"/>
    <x v="11"/>
    <x v="0"/>
    <x v="1"/>
    <m/>
  </r>
  <r>
    <n v="11381"/>
    <x v="0"/>
    <x v="0"/>
    <n v="20000"/>
    <n v="2"/>
    <x v="1"/>
    <s v="Manual"/>
    <s v="Yes"/>
    <n v="1"/>
    <x v="1"/>
    <x v="0"/>
    <x v="15"/>
    <x v="0"/>
    <x v="1"/>
    <m/>
  </r>
  <r>
    <n v="17522"/>
    <x v="0"/>
    <x v="1"/>
    <n v="120000"/>
    <n v="4"/>
    <x v="0"/>
    <s v="Management"/>
    <s v="Yes"/>
    <n v="1"/>
    <x v="1"/>
    <x v="1"/>
    <x v="15"/>
    <x v="0"/>
    <x v="0"/>
    <m/>
  </r>
  <r>
    <n v="21207"/>
    <x v="0"/>
    <x v="1"/>
    <n v="60000"/>
    <n v="1"/>
    <x v="1"/>
    <s v="Skilled Manual"/>
    <s v="Yes"/>
    <n v="1"/>
    <x v="2"/>
    <x v="1"/>
    <x v="30"/>
    <x v="0"/>
    <x v="0"/>
    <m/>
  </r>
  <r>
    <n v="28102"/>
    <x v="0"/>
    <x v="1"/>
    <n v="20000"/>
    <n v="4"/>
    <x v="2"/>
    <s v="Skilled Manual"/>
    <s v="Yes"/>
    <n v="2"/>
    <x v="2"/>
    <x v="1"/>
    <x v="7"/>
    <x v="1"/>
    <x v="1"/>
    <m/>
  </r>
  <r>
    <n v="23105"/>
    <x v="1"/>
    <x v="1"/>
    <n v="40000"/>
    <n v="3"/>
    <x v="3"/>
    <s v="Clerical"/>
    <s v="No"/>
    <n v="2"/>
    <x v="2"/>
    <x v="1"/>
    <x v="31"/>
    <x v="0"/>
    <x v="1"/>
    <m/>
  </r>
  <r>
    <n v="18740"/>
    <x v="0"/>
    <x v="1"/>
    <n v="80000"/>
    <n v="5"/>
    <x v="0"/>
    <s v="Professional"/>
    <s v="No"/>
    <n v="1"/>
    <x v="0"/>
    <x v="1"/>
    <x v="15"/>
    <x v="0"/>
    <x v="1"/>
    <m/>
  </r>
  <r>
    <n v="21213"/>
    <x v="1"/>
    <x v="1"/>
    <n v="70000"/>
    <n v="0"/>
    <x v="0"/>
    <s v="Professional"/>
    <s v="No"/>
    <n v="1"/>
    <x v="2"/>
    <x v="1"/>
    <x v="3"/>
    <x v="0"/>
    <x v="0"/>
    <m/>
  </r>
  <r>
    <n v="17352"/>
    <x v="0"/>
    <x v="1"/>
    <n v="50000"/>
    <n v="2"/>
    <x v="4"/>
    <s v="Management"/>
    <s v="Yes"/>
    <n v="1"/>
    <x v="2"/>
    <x v="1"/>
    <x v="46"/>
    <x v="1"/>
    <x v="1"/>
    <m/>
  </r>
  <r>
    <n v="14154"/>
    <x v="0"/>
    <x v="1"/>
    <n v="30000"/>
    <n v="0"/>
    <x v="0"/>
    <s v="Clerical"/>
    <s v="Yes"/>
    <n v="0"/>
    <x v="0"/>
    <x v="0"/>
    <x v="11"/>
    <x v="0"/>
    <x v="1"/>
    <m/>
  </r>
  <r>
    <n v="19066"/>
    <x v="0"/>
    <x v="1"/>
    <n v="130000"/>
    <n v="4"/>
    <x v="1"/>
    <s v="Professional"/>
    <s v="No"/>
    <n v="3"/>
    <x v="4"/>
    <x v="0"/>
    <x v="9"/>
    <x v="0"/>
    <x v="0"/>
    <m/>
  </r>
  <r>
    <n v="11386"/>
    <x v="0"/>
    <x v="0"/>
    <n v="30000"/>
    <n v="3"/>
    <x v="0"/>
    <s v="Clerical"/>
    <s v="Yes"/>
    <n v="0"/>
    <x v="0"/>
    <x v="0"/>
    <x v="12"/>
    <x v="0"/>
    <x v="0"/>
    <m/>
  </r>
  <r>
    <n v="20228"/>
    <x v="0"/>
    <x v="1"/>
    <n v="100000"/>
    <n v="0"/>
    <x v="4"/>
    <s v="Management"/>
    <s v="Yes"/>
    <n v="0"/>
    <x v="1"/>
    <x v="1"/>
    <x v="8"/>
    <x v="0"/>
    <x v="1"/>
    <m/>
  </r>
  <r>
    <n v="16675"/>
    <x v="1"/>
    <x v="0"/>
    <n v="160000"/>
    <n v="0"/>
    <x v="4"/>
    <s v="Management"/>
    <s v="No"/>
    <n v="3"/>
    <x v="0"/>
    <x v="1"/>
    <x v="15"/>
    <x v="0"/>
    <x v="1"/>
    <m/>
  </r>
  <r>
    <n v="16410"/>
    <x v="1"/>
    <x v="0"/>
    <n v="10000"/>
    <n v="4"/>
    <x v="3"/>
    <s v="Manual"/>
    <s v="Yes"/>
    <n v="2"/>
    <x v="0"/>
    <x v="0"/>
    <x v="3"/>
    <x v="0"/>
    <x v="1"/>
    <m/>
  </r>
  <r>
    <n v="27760"/>
    <x v="1"/>
    <x v="0"/>
    <n v="40000"/>
    <n v="0"/>
    <x v="4"/>
    <s v="Clerical"/>
    <s v="No"/>
    <n v="0"/>
    <x v="0"/>
    <x v="0"/>
    <x v="34"/>
    <x v="0"/>
    <x v="1"/>
    <m/>
  </r>
  <r>
    <n v="22930"/>
    <x v="0"/>
    <x v="1"/>
    <n v="90000"/>
    <n v="4"/>
    <x v="0"/>
    <s v="Professional"/>
    <s v="Yes"/>
    <n v="0"/>
    <x v="3"/>
    <x v="1"/>
    <x v="13"/>
    <x v="0"/>
    <x v="1"/>
    <m/>
  </r>
  <r>
    <n v="23780"/>
    <x v="1"/>
    <x v="1"/>
    <n v="40000"/>
    <n v="2"/>
    <x v="1"/>
    <s v="Clerical"/>
    <s v="No"/>
    <n v="2"/>
    <x v="0"/>
    <x v="0"/>
    <x v="4"/>
    <x v="0"/>
    <x v="1"/>
    <m/>
  </r>
  <r>
    <n v="20994"/>
    <x v="0"/>
    <x v="0"/>
    <n v="20000"/>
    <n v="0"/>
    <x v="0"/>
    <s v="Clerical"/>
    <s v="No"/>
    <n v="0"/>
    <x v="0"/>
    <x v="1"/>
    <x v="22"/>
    <x v="2"/>
    <x v="1"/>
    <m/>
  </r>
  <r>
    <n v="28379"/>
    <x v="0"/>
    <x v="1"/>
    <n v="30000"/>
    <n v="1"/>
    <x v="0"/>
    <s v="Skilled Manual"/>
    <s v="Yes"/>
    <n v="2"/>
    <x v="0"/>
    <x v="0"/>
    <x v="8"/>
    <x v="0"/>
    <x v="0"/>
    <m/>
  </r>
  <r>
    <n v="14865"/>
    <x v="1"/>
    <x v="1"/>
    <n v="40000"/>
    <n v="2"/>
    <x v="1"/>
    <s v="Clerical"/>
    <s v="Yes"/>
    <n v="2"/>
    <x v="3"/>
    <x v="0"/>
    <x v="4"/>
    <x v="0"/>
    <x v="0"/>
    <m/>
  </r>
  <r>
    <n v="12663"/>
    <x v="0"/>
    <x v="0"/>
    <n v="90000"/>
    <n v="5"/>
    <x v="3"/>
    <s v="Skilled Manual"/>
    <s v="Yes"/>
    <n v="2"/>
    <x v="4"/>
    <x v="0"/>
    <x v="14"/>
    <x v="1"/>
    <x v="0"/>
    <m/>
  </r>
  <r>
    <n v="24898"/>
    <x v="1"/>
    <x v="0"/>
    <n v="80000"/>
    <n v="0"/>
    <x v="0"/>
    <s v="Professional"/>
    <s v="Yes"/>
    <n v="3"/>
    <x v="4"/>
    <x v="1"/>
    <x v="21"/>
    <x v="0"/>
    <x v="0"/>
    <m/>
  </r>
  <r>
    <n v="19508"/>
    <x v="0"/>
    <x v="1"/>
    <n v="10000"/>
    <n v="0"/>
    <x v="3"/>
    <s v="Manual"/>
    <s v="No"/>
    <n v="2"/>
    <x v="0"/>
    <x v="0"/>
    <x v="25"/>
    <x v="2"/>
    <x v="0"/>
    <m/>
  </r>
  <r>
    <n v="11489"/>
    <x v="1"/>
    <x v="0"/>
    <n v="20000"/>
    <n v="0"/>
    <x v="3"/>
    <s v="Manual"/>
    <s v="No"/>
    <n v="2"/>
    <x v="3"/>
    <x v="0"/>
    <x v="11"/>
    <x v="0"/>
    <x v="1"/>
    <m/>
  </r>
  <r>
    <n v="18160"/>
    <x v="0"/>
    <x v="1"/>
    <n v="130000"/>
    <n v="3"/>
    <x v="2"/>
    <s v="Professional"/>
    <s v="Yes"/>
    <n v="4"/>
    <x v="2"/>
    <x v="0"/>
    <x v="36"/>
    <x v="0"/>
    <x v="1"/>
    <m/>
  </r>
  <r>
    <n v="25241"/>
    <x v="0"/>
    <x v="1"/>
    <n v="90000"/>
    <n v="2"/>
    <x v="0"/>
    <s v="Professional"/>
    <s v="Yes"/>
    <n v="1"/>
    <x v="2"/>
    <x v="1"/>
    <x v="15"/>
    <x v="0"/>
    <x v="0"/>
    <m/>
  </r>
  <r>
    <n v="24369"/>
    <x v="0"/>
    <x v="1"/>
    <n v="80000"/>
    <n v="5"/>
    <x v="4"/>
    <s v="Management"/>
    <s v="No"/>
    <n v="2"/>
    <x v="0"/>
    <x v="1"/>
    <x v="32"/>
    <x v="0"/>
    <x v="0"/>
    <m/>
  </r>
  <r>
    <n v="27165"/>
    <x v="1"/>
    <x v="1"/>
    <n v="20000"/>
    <n v="0"/>
    <x v="3"/>
    <s v="Manual"/>
    <s v="No"/>
    <n v="2"/>
    <x v="0"/>
    <x v="0"/>
    <x v="17"/>
    <x v="0"/>
    <x v="0"/>
    <m/>
  </r>
  <r>
    <n v="29424"/>
    <x v="0"/>
    <x v="1"/>
    <n v="10000"/>
    <n v="0"/>
    <x v="3"/>
    <s v="Manual"/>
    <s v="Yes"/>
    <n v="2"/>
    <x v="0"/>
    <x v="0"/>
    <x v="21"/>
    <x v="0"/>
    <x v="0"/>
    <m/>
  </r>
  <r>
    <n v="15926"/>
    <x v="1"/>
    <x v="0"/>
    <n v="120000"/>
    <n v="3"/>
    <x v="2"/>
    <s v="Professional"/>
    <s v="Yes"/>
    <n v="4"/>
    <x v="2"/>
    <x v="0"/>
    <x v="5"/>
    <x v="0"/>
    <x v="1"/>
    <m/>
  </r>
  <r>
    <n v="14554"/>
    <x v="0"/>
    <x v="1"/>
    <n v="20000"/>
    <n v="1"/>
    <x v="0"/>
    <s v="Clerical"/>
    <s v="Yes"/>
    <n v="0"/>
    <x v="0"/>
    <x v="0"/>
    <x v="29"/>
    <x v="1"/>
    <x v="0"/>
    <m/>
  </r>
  <r>
    <n v="16468"/>
    <x v="1"/>
    <x v="1"/>
    <n v="30000"/>
    <n v="0"/>
    <x v="1"/>
    <s v="Clerical"/>
    <s v="Yes"/>
    <n v="1"/>
    <x v="1"/>
    <x v="0"/>
    <x v="25"/>
    <x v="2"/>
    <x v="0"/>
    <m/>
  </r>
  <r>
    <n v="19174"/>
    <x v="1"/>
    <x v="0"/>
    <n v="30000"/>
    <n v="0"/>
    <x v="2"/>
    <s v="Manual"/>
    <s v="No"/>
    <n v="1"/>
    <x v="1"/>
    <x v="0"/>
    <x v="21"/>
    <x v="0"/>
    <x v="1"/>
    <m/>
  </r>
  <r>
    <n v="19183"/>
    <x v="1"/>
    <x v="1"/>
    <n v="10000"/>
    <n v="0"/>
    <x v="3"/>
    <s v="Manual"/>
    <s v="Yes"/>
    <n v="2"/>
    <x v="3"/>
    <x v="0"/>
    <x v="11"/>
    <x v="0"/>
    <x v="0"/>
    <m/>
  </r>
  <r>
    <n v="13683"/>
    <x v="1"/>
    <x v="0"/>
    <n v="30000"/>
    <n v="0"/>
    <x v="2"/>
    <s v="Manual"/>
    <s v="No"/>
    <n v="1"/>
    <x v="1"/>
    <x v="0"/>
    <x v="21"/>
    <x v="0"/>
    <x v="0"/>
    <m/>
  </r>
  <r>
    <n v="17848"/>
    <x v="1"/>
    <x v="1"/>
    <n v="30000"/>
    <n v="0"/>
    <x v="1"/>
    <s v="Clerical"/>
    <s v="No"/>
    <n v="1"/>
    <x v="1"/>
    <x v="0"/>
    <x v="23"/>
    <x v="0"/>
    <x v="1"/>
    <m/>
  </r>
  <r>
    <n v="17894"/>
    <x v="0"/>
    <x v="0"/>
    <n v="20000"/>
    <n v="1"/>
    <x v="0"/>
    <s v="Clerical"/>
    <s v="Yes"/>
    <n v="0"/>
    <x v="0"/>
    <x v="0"/>
    <x v="5"/>
    <x v="0"/>
    <x v="1"/>
    <m/>
  </r>
  <r>
    <n v="25651"/>
    <x v="0"/>
    <x v="1"/>
    <n v="40000"/>
    <n v="1"/>
    <x v="0"/>
    <s v="Skilled Manual"/>
    <s v="No"/>
    <n v="0"/>
    <x v="0"/>
    <x v="0"/>
    <x v="1"/>
    <x v="0"/>
    <x v="1"/>
    <m/>
  </r>
  <r>
    <n v="22936"/>
    <x v="1"/>
    <x v="0"/>
    <n v="60000"/>
    <n v="1"/>
    <x v="1"/>
    <s v="Skilled Manual"/>
    <s v="No"/>
    <n v="1"/>
    <x v="0"/>
    <x v="1"/>
    <x v="12"/>
    <x v="0"/>
    <x v="1"/>
    <m/>
  </r>
  <r>
    <n v="23915"/>
    <x v="0"/>
    <x v="1"/>
    <n v="20000"/>
    <n v="2"/>
    <x v="2"/>
    <s v="Manual"/>
    <s v="Yes"/>
    <n v="2"/>
    <x v="0"/>
    <x v="0"/>
    <x v="0"/>
    <x v="0"/>
    <x v="0"/>
    <m/>
  </r>
  <r>
    <n v="24121"/>
    <x v="1"/>
    <x v="0"/>
    <n v="30000"/>
    <n v="0"/>
    <x v="1"/>
    <s v="Clerical"/>
    <s v="No"/>
    <n v="1"/>
    <x v="0"/>
    <x v="0"/>
    <x v="19"/>
    <x v="2"/>
    <x v="1"/>
    <m/>
  </r>
  <r>
    <n v="27878"/>
    <x v="1"/>
    <x v="1"/>
    <n v="20000"/>
    <n v="0"/>
    <x v="1"/>
    <s v="Manual"/>
    <s v="No"/>
    <n v="0"/>
    <x v="0"/>
    <x v="1"/>
    <x v="26"/>
    <x v="2"/>
    <x v="1"/>
    <m/>
  </r>
  <r>
    <n v="13572"/>
    <x v="1"/>
    <x v="1"/>
    <n v="10000"/>
    <n v="3"/>
    <x v="2"/>
    <s v="Manual"/>
    <s v="Yes"/>
    <n v="0"/>
    <x v="0"/>
    <x v="0"/>
    <x v="34"/>
    <x v="0"/>
    <x v="1"/>
    <m/>
  </r>
  <r>
    <n v="27941"/>
    <x v="0"/>
    <x v="0"/>
    <n v="80000"/>
    <n v="4"/>
    <x v="1"/>
    <s v="Professional"/>
    <s v="Yes"/>
    <n v="2"/>
    <x v="1"/>
    <x v="0"/>
    <x v="39"/>
    <x v="0"/>
    <x v="0"/>
    <m/>
  </r>
  <r>
    <n v="26354"/>
    <x v="1"/>
    <x v="1"/>
    <n v="40000"/>
    <n v="0"/>
    <x v="4"/>
    <s v="Clerical"/>
    <s v="No"/>
    <n v="0"/>
    <x v="0"/>
    <x v="0"/>
    <x v="13"/>
    <x v="0"/>
    <x v="1"/>
    <m/>
  </r>
  <r>
    <n v="14785"/>
    <x v="1"/>
    <x v="1"/>
    <n v="30000"/>
    <n v="1"/>
    <x v="0"/>
    <s v="Clerical"/>
    <s v="No"/>
    <n v="1"/>
    <x v="3"/>
    <x v="0"/>
    <x v="32"/>
    <x v="0"/>
    <x v="0"/>
    <m/>
  </r>
  <r>
    <n v="17238"/>
    <x v="1"/>
    <x v="1"/>
    <n v="80000"/>
    <n v="0"/>
    <x v="0"/>
    <s v="Professional"/>
    <s v="Yes"/>
    <n v="3"/>
    <x v="4"/>
    <x v="1"/>
    <x v="21"/>
    <x v="0"/>
    <x v="0"/>
    <m/>
  </r>
  <r>
    <n v="23608"/>
    <x v="0"/>
    <x v="0"/>
    <n v="150000"/>
    <n v="3"/>
    <x v="2"/>
    <s v="Professional"/>
    <s v="Yes"/>
    <n v="3"/>
    <x v="0"/>
    <x v="0"/>
    <x v="36"/>
    <x v="0"/>
    <x v="1"/>
    <m/>
  </r>
  <r>
    <n v="22538"/>
    <x v="1"/>
    <x v="0"/>
    <n v="10000"/>
    <n v="0"/>
    <x v="3"/>
    <s v="Manual"/>
    <s v="Yes"/>
    <n v="2"/>
    <x v="3"/>
    <x v="0"/>
    <x v="6"/>
    <x v="0"/>
    <x v="0"/>
    <m/>
  </r>
  <r>
    <n v="12332"/>
    <x v="0"/>
    <x v="1"/>
    <n v="90000"/>
    <n v="4"/>
    <x v="2"/>
    <s v="Management"/>
    <s v="Yes"/>
    <n v="3"/>
    <x v="2"/>
    <x v="0"/>
    <x v="7"/>
    <x v="1"/>
    <x v="1"/>
    <m/>
  </r>
  <r>
    <n v="17230"/>
    <x v="0"/>
    <x v="1"/>
    <n v="80000"/>
    <n v="0"/>
    <x v="0"/>
    <s v="Professional"/>
    <s v="Yes"/>
    <n v="3"/>
    <x v="4"/>
    <x v="1"/>
    <x v="25"/>
    <x v="2"/>
    <x v="0"/>
    <m/>
  </r>
  <r>
    <n v="13082"/>
    <x v="1"/>
    <x v="1"/>
    <n v="130000"/>
    <n v="0"/>
    <x v="4"/>
    <s v="Management"/>
    <s v="Yes"/>
    <n v="0"/>
    <x v="1"/>
    <x v="1"/>
    <x v="28"/>
    <x v="0"/>
    <x v="1"/>
    <m/>
  </r>
  <r>
    <n v="22518"/>
    <x v="1"/>
    <x v="0"/>
    <n v="30000"/>
    <n v="3"/>
    <x v="1"/>
    <s v="Clerical"/>
    <s v="No"/>
    <n v="2"/>
    <x v="0"/>
    <x v="0"/>
    <x v="40"/>
    <x v="2"/>
    <x v="1"/>
    <m/>
  </r>
  <r>
    <n v="13687"/>
    <x v="0"/>
    <x v="1"/>
    <n v="40000"/>
    <n v="1"/>
    <x v="0"/>
    <s v="Skilled Manual"/>
    <s v="Yes"/>
    <n v="1"/>
    <x v="0"/>
    <x v="0"/>
    <x v="6"/>
    <x v="0"/>
    <x v="1"/>
    <m/>
  </r>
  <r>
    <n v="23571"/>
    <x v="0"/>
    <x v="0"/>
    <n v="40000"/>
    <n v="2"/>
    <x v="0"/>
    <s v="Management"/>
    <s v="Yes"/>
    <n v="2"/>
    <x v="0"/>
    <x v="1"/>
    <x v="29"/>
    <x v="1"/>
    <x v="1"/>
    <m/>
  </r>
  <r>
    <n v="19305"/>
    <x v="1"/>
    <x v="0"/>
    <n v="10000"/>
    <n v="2"/>
    <x v="2"/>
    <s v="Manual"/>
    <s v="Yes"/>
    <n v="1"/>
    <x v="0"/>
    <x v="0"/>
    <x v="13"/>
    <x v="0"/>
    <x v="1"/>
    <m/>
  </r>
  <r>
    <n v="22636"/>
    <x v="1"/>
    <x v="0"/>
    <n v="40000"/>
    <n v="0"/>
    <x v="0"/>
    <s v="Clerical"/>
    <s v="No"/>
    <n v="0"/>
    <x v="0"/>
    <x v="0"/>
    <x v="13"/>
    <x v="0"/>
    <x v="1"/>
    <m/>
  </r>
  <r>
    <n v="17310"/>
    <x v="0"/>
    <x v="1"/>
    <n v="60000"/>
    <n v="1"/>
    <x v="1"/>
    <s v="Skilled Manual"/>
    <s v="Yes"/>
    <n v="1"/>
    <x v="0"/>
    <x v="1"/>
    <x v="12"/>
    <x v="0"/>
    <x v="1"/>
    <m/>
  </r>
  <r>
    <n v="12133"/>
    <x v="0"/>
    <x v="0"/>
    <n v="130000"/>
    <n v="3"/>
    <x v="1"/>
    <s v="Professional"/>
    <s v="Yes"/>
    <n v="3"/>
    <x v="2"/>
    <x v="0"/>
    <x v="5"/>
    <x v="0"/>
    <x v="1"/>
    <m/>
  </r>
  <r>
    <n v="25918"/>
    <x v="1"/>
    <x v="0"/>
    <n v="30000"/>
    <n v="2"/>
    <x v="1"/>
    <s v="Clerical"/>
    <s v="No"/>
    <n v="2"/>
    <x v="2"/>
    <x v="1"/>
    <x v="2"/>
    <x v="1"/>
    <x v="1"/>
    <m/>
  </r>
  <r>
    <n v="25752"/>
    <x v="1"/>
    <x v="0"/>
    <n v="20000"/>
    <n v="2"/>
    <x v="1"/>
    <s v="Manual"/>
    <s v="No"/>
    <n v="1"/>
    <x v="0"/>
    <x v="0"/>
    <x v="39"/>
    <x v="0"/>
    <x v="1"/>
    <m/>
  </r>
  <r>
    <n v="17324"/>
    <x v="0"/>
    <x v="0"/>
    <n v="100000"/>
    <n v="4"/>
    <x v="0"/>
    <s v="Professional"/>
    <s v="Yes"/>
    <n v="1"/>
    <x v="4"/>
    <x v="1"/>
    <x v="30"/>
    <x v="0"/>
    <x v="0"/>
    <m/>
  </r>
  <r>
    <n v="22918"/>
    <x v="1"/>
    <x v="1"/>
    <n v="80000"/>
    <n v="5"/>
    <x v="4"/>
    <s v="Management"/>
    <s v="Yes"/>
    <n v="3"/>
    <x v="0"/>
    <x v="1"/>
    <x v="5"/>
    <x v="0"/>
    <x v="0"/>
    <m/>
  </r>
  <r>
    <n v="12510"/>
    <x v="0"/>
    <x v="1"/>
    <n v="40000"/>
    <n v="1"/>
    <x v="0"/>
    <s v="Skilled Manual"/>
    <s v="Yes"/>
    <n v="1"/>
    <x v="0"/>
    <x v="0"/>
    <x v="1"/>
    <x v="0"/>
    <x v="1"/>
    <m/>
  </r>
  <r>
    <n v="25512"/>
    <x v="1"/>
    <x v="1"/>
    <n v="20000"/>
    <n v="0"/>
    <x v="2"/>
    <s v="Manual"/>
    <s v="No"/>
    <n v="1"/>
    <x v="1"/>
    <x v="0"/>
    <x v="25"/>
    <x v="2"/>
    <x v="0"/>
    <m/>
  </r>
  <r>
    <n v="16179"/>
    <x v="1"/>
    <x v="0"/>
    <n v="80000"/>
    <n v="5"/>
    <x v="0"/>
    <s v="Professional"/>
    <s v="Yes"/>
    <n v="4"/>
    <x v="3"/>
    <x v="1"/>
    <x v="13"/>
    <x v="0"/>
    <x v="0"/>
    <m/>
  </r>
  <r>
    <n v="15628"/>
    <x v="0"/>
    <x v="0"/>
    <n v="40000"/>
    <n v="1"/>
    <x v="0"/>
    <s v="Skilled Manual"/>
    <s v="Yes"/>
    <n v="1"/>
    <x v="0"/>
    <x v="0"/>
    <x v="47"/>
    <x v="1"/>
    <x v="0"/>
    <m/>
  </r>
  <r>
    <n v="20977"/>
    <x v="0"/>
    <x v="1"/>
    <n v="20000"/>
    <n v="1"/>
    <x v="0"/>
    <s v="Clerical"/>
    <s v="Yes"/>
    <n v="0"/>
    <x v="0"/>
    <x v="0"/>
    <x v="46"/>
    <x v="1"/>
    <x v="1"/>
    <m/>
  </r>
  <r>
    <n v="18140"/>
    <x v="0"/>
    <x v="1"/>
    <n v="130000"/>
    <n v="3"/>
    <x v="1"/>
    <s v="Professional"/>
    <s v="No"/>
    <n v="3"/>
    <x v="2"/>
    <x v="0"/>
    <x v="36"/>
    <x v="0"/>
    <x v="1"/>
    <m/>
  </r>
  <r>
    <n v="20417"/>
    <x v="0"/>
    <x v="1"/>
    <n v="30000"/>
    <n v="3"/>
    <x v="1"/>
    <s v="Clerical"/>
    <s v="No"/>
    <n v="2"/>
    <x v="2"/>
    <x v="1"/>
    <x v="16"/>
    <x v="1"/>
    <x v="0"/>
    <m/>
  </r>
  <r>
    <n v="18267"/>
    <x v="0"/>
    <x v="1"/>
    <n v="60000"/>
    <n v="3"/>
    <x v="0"/>
    <s v="Professional"/>
    <s v="Yes"/>
    <n v="2"/>
    <x v="2"/>
    <x v="1"/>
    <x v="1"/>
    <x v="0"/>
    <x v="0"/>
    <m/>
  </r>
  <r>
    <n v="13620"/>
    <x v="1"/>
    <x v="1"/>
    <n v="70000"/>
    <n v="0"/>
    <x v="0"/>
    <s v="Professional"/>
    <s v="No"/>
    <n v="3"/>
    <x v="4"/>
    <x v="1"/>
    <x v="25"/>
    <x v="2"/>
    <x v="1"/>
    <m/>
  </r>
  <r>
    <n v="22974"/>
    <x v="0"/>
    <x v="0"/>
    <n v="30000"/>
    <n v="2"/>
    <x v="1"/>
    <s v="Clerical"/>
    <s v="Yes"/>
    <n v="2"/>
    <x v="2"/>
    <x v="1"/>
    <x v="45"/>
    <x v="1"/>
    <x v="0"/>
    <m/>
  </r>
  <r>
    <n v="13586"/>
    <x v="0"/>
    <x v="1"/>
    <n v="80000"/>
    <n v="4"/>
    <x v="1"/>
    <s v="Professional"/>
    <s v="Yes"/>
    <n v="2"/>
    <x v="4"/>
    <x v="0"/>
    <x v="39"/>
    <x v="0"/>
    <x v="0"/>
    <m/>
  </r>
  <r>
    <n v="17978"/>
    <x v="0"/>
    <x v="1"/>
    <n v="40000"/>
    <n v="0"/>
    <x v="4"/>
    <s v="Clerical"/>
    <s v="Yes"/>
    <n v="0"/>
    <x v="0"/>
    <x v="0"/>
    <x v="34"/>
    <x v="0"/>
    <x v="1"/>
    <m/>
  </r>
  <r>
    <n v="12581"/>
    <x v="1"/>
    <x v="0"/>
    <n v="10000"/>
    <n v="0"/>
    <x v="1"/>
    <s v="Manual"/>
    <s v="No"/>
    <n v="1"/>
    <x v="0"/>
    <x v="1"/>
    <x v="26"/>
    <x v="2"/>
    <x v="1"/>
    <m/>
  </r>
  <r>
    <n v="18018"/>
    <x v="1"/>
    <x v="1"/>
    <n v="30000"/>
    <n v="3"/>
    <x v="1"/>
    <s v="Clerical"/>
    <s v="Yes"/>
    <n v="0"/>
    <x v="0"/>
    <x v="0"/>
    <x v="1"/>
    <x v="0"/>
    <x v="0"/>
    <m/>
  </r>
  <r>
    <n v="28957"/>
    <x v="1"/>
    <x v="0"/>
    <n v="120000"/>
    <n v="0"/>
    <x v="3"/>
    <s v="Professional"/>
    <s v="Yes"/>
    <n v="4"/>
    <x v="4"/>
    <x v="1"/>
    <x v="17"/>
    <x v="0"/>
    <x v="1"/>
    <m/>
  </r>
  <r>
    <n v="13690"/>
    <x v="1"/>
    <x v="0"/>
    <n v="20000"/>
    <n v="0"/>
    <x v="3"/>
    <s v="Manual"/>
    <s v="No"/>
    <n v="2"/>
    <x v="3"/>
    <x v="0"/>
    <x v="17"/>
    <x v="0"/>
    <x v="1"/>
    <m/>
  </r>
  <r>
    <n v="12568"/>
    <x v="0"/>
    <x v="0"/>
    <n v="30000"/>
    <n v="1"/>
    <x v="0"/>
    <s v="Clerical"/>
    <s v="Yes"/>
    <n v="0"/>
    <x v="0"/>
    <x v="0"/>
    <x v="46"/>
    <x v="1"/>
    <x v="0"/>
    <m/>
  </r>
  <r>
    <n v="13122"/>
    <x v="0"/>
    <x v="0"/>
    <n v="80000"/>
    <n v="0"/>
    <x v="0"/>
    <s v="Professional"/>
    <s v="Yes"/>
    <n v="1"/>
    <x v="3"/>
    <x v="1"/>
    <x v="3"/>
    <x v="0"/>
    <x v="1"/>
    <m/>
  </r>
  <r>
    <n v="21184"/>
    <x v="1"/>
    <x v="1"/>
    <n v="70000"/>
    <n v="0"/>
    <x v="0"/>
    <s v="Professional"/>
    <s v="No"/>
    <n v="1"/>
    <x v="2"/>
    <x v="1"/>
    <x v="13"/>
    <x v="0"/>
    <x v="0"/>
    <m/>
  </r>
  <r>
    <n v="26150"/>
    <x v="1"/>
    <x v="0"/>
    <n v="70000"/>
    <n v="0"/>
    <x v="0"/>
    <s v="Professional"/>
    <s v="No"/>
    <n v="1"/>
    <x v="0"/>
    <x v="1"/>
    <x v="3"/>
    <x v="0"/>
    <x v="1"/>
    <m/>
  </r>
  <r>
    <n v="24151"/>
    <x v="1"/>
    <x v="1"/>
    <n v="20000"/>
    <n v="1"/>
    <x v="0"/>
    <s v="Clerical"/>
    <s v="No"/>
    <n v="0"/>
    <x v="0"/>
    <x v="0"/>
    <x v="36"/>
    <x v="0"/>
    <x v="0"/>
    <m/>
  </r>
  <r>
    <n v="23962"/>
    <x v="0"/>
    <x v="0"/>
    <n v="10000"/>
    <n v="0"/>
    <x v="3"/>
    <s v="Manual"/>
    <s v="Yes"/>
    <n v="2"/>
    <x v="3"/>
    <x v="0"/>
    <x v="21"/>
    <x v="0"/>
    <x v="0"/>
    <m/>
  </r>
  <r>
    <n v="17793"/>
    <x v="0"/>
    <x v="0"/>
    <n v="40000"/>
    <n v="0"/>
    <x v="0"/>
    <s v="Clerical"/>
    <s v="Yes"/>
    <n v="0"/>
    <x v="0"/>
    <x v="0"/>
    <x v="13"/>
    <x v="0"/>
    <x v="1"/>
    <m/>
  </r>
  <r>
    <n v="14926"/>
    <x v="0"/>
    <x v="1"/>
    <n v="30000"/>
    <n v="1"/>
    <x v="0"/>
    <s v="Clerical"/>
    <s v="Yes"/>
    <n v="0"/>
    <x v="0"/>
    <x v="0"/>
    <x v="13"/>
    <x v="0"/>
    <x v="1"/>
    <m/>
  </r>
  <r>
    <n v="16163"/>
    <x v="1"/>
    <x v="1"/>
    <n v="60000"/>
    <n v="2"/>
    <x v="0"/>
    <s v="Professional"/>
    <s v="Yes"/>
    <n v="1"/>
    <x v="1"/>
    <x v="1"/>
    <x v="13"/>
    <x v="0"/>
    <x v="1"/>
    <m/>
  </r>
  <r>
    <n v="21365"/>
    <x v="0"/>
    <x v="0"/>
    <n v="10000"/>
    <n v="2"/>
    <x v="3"/>
    <s v="Clerical"/>
    <s v="Yes"/>
    <n v="2"/>
    <x v="2"/>
    <x v="1"/>
    <x v="7"/>
    <x v="1"/>
    <x v="0"/>
    <m/>
  </r>
  <r>
    <n v="27771"/>
    <x v="1"/>
    <x v="1"/>
    <n v="30000"/>
    <n v="1"/>
    <x v="0"/>
    <s v="Clerical"/>
    <s v="Yes"/>
    <n v="1"/>
    <x v="3"/>
    <x v="0"/>
    <x v="32"/>
    <x v="0"/>
    <x v="1"/>
    <m/>
  </r>
  <r>
    <n v="26167"/>
    <x v="1"/>
    <x v="0"/>
    <n v="40000"/>
    <n v="2"/>
    <x v="0"/>
    <s v="Management"/>
    <s v="No"/>
    <n v="1"/>
    <x v="2"/>
    <x v="1"/>
    <x v="39"/>
    <x v="0"/>
    <x v="1"/>
    <m/>
  </r>
  <r>
    <n v="25792"/>
    <x v="1"/>
    <x v="0"/>
    <n v="110000"/>
    <n v="3"/>
    <x v="0"/>
    <s v="Management"/>
    <s v="Yes"/>
    <n v="4"/>
    <x v="4"/>
    <x v="0"/>
    <x v="39"/>
    <x v="0"/>
    <x v="0"/>
    <m/>
  </r>
  <r>
    <n v="11555"/>
    <x v="0"/>
    <x v="0"/>
    <n v="40000"/>
    <n v="1"/>
    <x v="0"/>
    <s v="Clerical"/>
    <s v="Yes"/>
    <n v="0"/>
    <x v="0"/>
    <x v="0"/>
    <x v="48"/>
    <x v="1"/>
    <x v="0"/>
    <m/>
  </r>
  <r>
    <n v="22381"/>
    <x v="0"/>
    <x v="1"/>
    <n v="10000"/>
    <n v="1"/>
    <x v="4"/>
    <s v="Manual"/>
    <s v="Yes"/>
    <n v="0"/>
    <x v="0"/>
    <x v="0"/>
    <x v="20"/>
    <x v="0"/>
    <x v="0"/>
    <m/>
  </r>
  <r>
    <n v="17882"/>
    <x v="0"/>
    <x v="1"/>
    <n v="20000"/>
    <n v="1"/>
    <x v="4"/>
    <s v="Clerical"/>
    <s v="Yes"/>
    <n v="0"/>
    <x v="0"/>
    <x v="0"/>
    <x v="20"/>
    <x v="0"/>
    <x v="0"/>
    <m/>
  </r>
  <r>
    <n v="22174"/>
    <x v="0"/>
    <x v="1"/>
    <n v="30000"/>
    <n v="3"/>
    <x v="2"/>
    <s v="Skilled Manual"/>
    <s v="Yes"/>
    <n v="2"/>
    <x v="2"/>
    <x v="1"/>
    <x v="9"/>
    <x v="0"/>
    <x v="1"/>
    <m/>
  </r>
  <r>
    <n v="22439"/>
    <x v="0"/>
    <x v="0"/>
    <n v="30000"/>
    <n v="0"/>
    <x v="0"/>
    <s v="Clerical"/>
    <s v="Yes"/>
    <n v="0"/>
    <x v="0"/>
    <x v="0"/>
    <x v="34"/>
    <x v="0"/>
    <x v="1"/>
    <m/>
  </r>
  <r>
    <n v="18012"/>
    <x v="0"/>
    <x v="0"/>
    <n v="40000"/>
    <n v="1"/>
    <x v="0"/>
    <s v="Skilled Manual"/>
    <s v="Yes"/>
    <n v="0"/>
    <x v="0"/>
    <x v="0"/>
    <x v="3"/>
    <x v="0"/>
    <x v="0"/>
    <m/>
  </r>
  <r>
    <n v="27582"/>
    <x v="1"/>
    <x v="0"/>
    <n v="90000"/>
    <n v="2"/>
    <x v="0"/>
    <s v="Professional"/>
    <s v="No"/>
    <n v="0"/>
    <x v="0"/>
    <x v="1"/>
    <x v="4"/>
    <x v="0"/>
    <x v="1"/>
    <m/>
  </r>
  <r>
    <n v="12744"/>
    <x v="1"/>
    <x v="0"/>
    <n v="40000"/>
    <n v="2"/>
    <x v="1"/>
    <s v="Clerical"/>
    <s v="Yes"/>
    <n v="0"/>
    <x v="0"/>
    <x v="0"/>
    <x v="6"/>
    <x v="0"/>
    <x v="0"/>
    <m/>
  </r>
  <r>
    <n v="22821"/>
    <x v="0"/>
    <x v="0"/>
    <n v="130000"/>
    <n v="3"/>
    <x v="1"/>
    <s v="Professional"/>
    <s v="Yes"/>
    <n v="4"/>
    <x v="0"/>
    <x v="0"/>
    <x v="31"/>
    <x v="0"/>
    <x v="0"/>
    <m/>
  </r>
  <r>
    <n v="20171"/>
    <x v="0"/>
    <x v="0"/>
    <n v="20000"/>
    <n v="2"/>
    <x v="1"/>
    <s v="Manual"/>
    <s v="Yes"/>
    <n v="1"/>
    <x v="0"/>
    <x v="0"/>
    <x v="30"/>
    <x v="0"/>
    <x v="1"/>
    <m/>
  </r>
  <r>
    <n v="11116"/>
    <x v="0"/>
    <x v="1"/>
    <n v="70000"/>
    <n v="5"/>
    <x v="1"/>
    <s v="Skilled Manual"/>
    <s v="Yes"/>
    <n v="2"/>
    <x v="2"/>
    <x v="1"/>
    <x v="1"/>
    <x v="0"/>
    <x v="0"/>
    <m/>
  </r>
  <r>
    <n v="20053"/>
    <x v="1"/>
    <x v="1"/>
    <n v="40000"/>
    <n v="2"/>
    <x v="1"/>
    <s v="Clerical"/>
    <s v="Yes"/>
    <n v="0"/>
    <x v="0"/>
    <x v="0"/>
    <x v="17"/>
    <x v="0"/>
    <x v="0"/>
    <m/>
  </r>
  <r>
    <n v="25266"/>
    <x v="1"/>
    <x v="0"/>
    <n v="30000"/>
    <n v="2"/>
    <x v="1"/>
    <s v="Clerical"/>
    <s v="No"/>
    <n v="2"/>
    <x v="2"/>
    <x v="1"/>
    <x v="41"/>
    <x v="1"/>
    <x v="0"/>
    <m/>
  </r>
  <r>
    <n v="17960"/>
    <x v="0"/>
    <x v="0"/>
    <n v="40000"/>
    <n v="0"/>
    <x v="4"/>
    <s v="Clerical"/>
    <s v="Yes"/>
    <n v="0"/>
    <x v="0"/>
    <x v="0"/>
    <x v="11"/>
    <x v="0"/>
    <x v="1"/>
    <m/>
  </r>
  <r>
    <n v="13961"/>
    <x v="0"/>
    <x v="0"/>
    <n v="80000"/>
    <n v="5"/>
    <x v="4"/>
    <s v="Management"/>
    <s v="Yes"/>
    <n v="3"/>
    <x v="0"/>
    <x v="1"/>
    <x v="8"/>
    <x v="0"/>
    <x v="0"/>
    <m/>
  </r>
  <r>
    <n v="11897"/>
    <x v="1"/>
    <x v="1"/>
    <n v="60000"/>
    <n v="2"/>
    <x v="0"/>
    <s v="Professional"/>
    <s v="No"/>
    <n v="1"/>
    <x v="0"/>
    <x v="1"/>
    <x v="34"/>
    <x v="0"/>
    <x v="1"/>
    <m/>
  </r>
  <r>
    <n v="11139"/>
    <x v="1"/>
    <x v="0"/>
    <n v="30000"/>
    <n v="2"/>
    <x v="1"/>
    <s v="Clerical"/>
    <s v="No"/>
    <n v="2"/>
    <x v="2"/>
    <x v="1"/>
    <x v="41"/>
    <x v="1"/>
    <x v="0"/>
    <m/>
  </r>
  <r>
    <n v="11576"/>
    <x v="0"/>
    <x v="1"/>
    <n v="30000"/>
    <n v="1"/>
    <x v="0"/>
    <s v="Skilled Manual"/>
    <s v="Yes"/>
    <n v="2"/>
    <x v="0"/>
    <x v="0"/>
    <x v="3"/>
    <x v="0"/>
    <x v="1"/>
    <m/>
  </r>
  <r>
    <n v="19255"/>
    <x v="1"/>
    <x v="1"/>
    <n v="10000"/>
    <n v="2"/>
    <x v="1"/>
    <s v="Manual"/>
    <s v="Yes"/>
    <n v="1"/>
    <x v="0"/>
    <x v="0"/>
    <x v="36"/>
    <x v="0"/>
    <x v="1"/>
    <m/>
  </r>
  <r>
    <n v="18153"/>
    <x v="0"/>
    <x v="0"/>
    <n v="100000"/>
    <n v="2"/>
    <x v="0"/>
    <s v="Management"/>
    <s v="Yes"/>
    <n v="4"/>
    <x v="4"/>
    <x v="0"/>
    <x v="14"/>
    <x v="1"/>
    <x v="0"/>
    <m/>
  </r>
  <r>
    <n v="14547"/>
    <x v="0"/>
    <x v="1"/>
    <n v="10000"/>
    <n v="2"/>
    <x v="1"/>
    <s v="Manual"/>
    <s v="Yes"/>
    <n v="0"/>
    <x v="3"/>
    <x v="0"/>
    <x v="36"/>
    <x v="0"/>
    <x v="0"/>
    <m/>
  </r>
  <r>
    <n v="24901"/>
    <x v="1"/>
    <x v="1"/>
    <n v="110000"/>
    <n v="0"/>
    <x v="1"/>
    <s v="Management"/>
    <s v="No"/>
    <n v="3"/>
    <x v="4"/>
    <x v="1"/>
    <x v="21"/>
    <x v="0"/>
    <x v="1"/>
    <m/>
  </r>
  <r>
    <n v="27169"/>
    <x v="1"/>
    <x v="1"/>
    <n v="30000"/>
    <n v="0"/>
    <x v="2"/>
    <s v="Manual"/>
    <s v="Yes"/>
    <n v="1"/>
    <x v="1"/>
    <x v="0"/>
    <x v="17"/>
    <x v="0"/>
    <x v="1"/>
    <m/>
  </r>
  <r>
    <n v="14805"/>
    <x v="1"/>
    <x v="0"/>
    <n v="10000"/>
    <n v="3"/>
    <x v="3"/>
    <s v="Manual"/>
    <s v="Yes"/>
    <n v="2"/>
    <x v="0"/>
    <x v="0"/>
    <x v="1"/>
    <x v="0"/>
    <x v="0"/>
    <m/>
  </r>
  <r>
    <n v="15822"/>
    <x v="0"/>
    <x v="1"/>
    <n v="40000"/>
    <n v="2"/>
    <x v="0"/>
    <s v="Management"/>
    <s v="Yes"/>
    <n v="2"/>
    <x v="0"/>
    <x v="1"/>
    <x v="41"/>
    <x v="1"/>
    <x v="0"/>
    <m/>
  </r>
  <r>
    <n v="19389"/>
    <x v="1"/>
    <x v="1"/>
    <n v="30000"/>
    <n v="0"/>
    <x v="1"/>
    <s v="Clerical"/>
    <s v="No"/>
    <n v="1"/>
    <x v="1"/>
    <x v="0"/>
    <x v="26"/>
    <x v="2"/>
    <x v="0"/>
    <m/>
  </r>
  <r>
    <n v="17048"/>
    <x v="1"/>
    <x v="0"/>
    <n v="90000"/>
    <n v="1"/>
    <x v="4"/>
    <s v="Management"/>
    <s v="Yes"/>
    <n v="0"/>
    <x v="0"/>
    <x v="1"/>
    <x v="4"/>
    <x v="0"/>
    <x v="1"/>
    <m/>
  </r>
  <r>
    <n v="22204"/>
    <x v="0"/>
    <x v="1"/>
    <n v="110000"/>
    <n v="4"/>
    <x v="0"/>
    <s v="Management"/>
    <s v="Yes"/>
    <n v="3"/>
    <x v="1"/>
    <x v="1"/>
    <x v="28"/>
    <x v="0"/>
    <x v="0"/>
    <m/>
  </r>
  <r>
    <n v="12718"/>
    <x v="1"/>
    <x v="0"/>
    <n v="30000"/>
    <n v="0"/>
    <x v="1"/>
    <s v="Clerical"/>
    <s v="Yes"/>
    <n v="1"/>
    <x v="1"/>
    <x v="0"/>
    <x v="23"/>
    <x v="0"/>
    <x v="0"/>
    <m/>
  </r>
  <r>
    <n v="15019"/>
    <x v="1"/>
    <x v="0"/>
    <n v="30000"/>
    <n v="3"/>
    <x v="2"/>
    <s v="Skilled Manual"/>
    <s v="Yes"/>
    <n v="2"/>
    <x v="2"/>
    <x v="1"/>
    <x v="10"/>
    <x v="1"/>
    <x v="0"/>
    <m/>
  </r>
  <r>
    <n v="28488"/>
    <x v="1"/>
    <x v="1"/>
    <n v="20000"/>
    <n v="0"/>
    <x v="1"/>
    <s v="Manual"/>
    <s v="Yes"/>
    <n v="0"/>
    <x v="0"/>
    <x v="1"/>
    <x v="26"/>
    <x v="2"/>
    <x v="1"/>
    <m/>
  </r>
  <r>
    <n v="21891"/>
    <x v="0"/>
    <x v="0"/>
    <n v="110000"/>
    <n v="0"/>
    <x v="2"/>
    <s v="Management"/>
    <s v="Yes"/>
    <n v="3"/>
    <x v="4"/>
    <x v="1"/>
    <x v="17"/>
    <x v="0"/>
    <x v="1"/>
    <m/>
  </r>
  <r>
    <n v="27814"/>
    <x v="1"/>
    <x v="0"/>
    <n v="30000"/>
    <n v="3"/>
    <x v="1"/>
    <s v="Clerical"/>
    <s v="No"/>
    <n v="1"/>
    <x v="0"/>
    <x v="0"/>
    <x v="22"/>
    <x v="2"/>
    <x v="0"/>
    <m/>
  </r>
  <r>
    <n v="22175"/>
    <x v="0"/>
    <x v="0"/>
    <n v="30000"/>
    <n v="3"/>
    <x v="2"/>
    <s v="Skilled Manual"/>
    <s v="Yes"/>
    <n v="2"/>
    <x v="2"/>
    <x v="1"/>
    <x v="39"/>
    <x v="0"/>
    <x v="1"/>
    <m/>
  </r>
  <r>
    <n v="29447"/>
    <x v="1"/>
    <x v="0"/>
    <n v="10000"/>
    <n v="2"/>
    <x v="0"/>
    <s v="Clerical"/>
    <s v="No"/>
    <n v="1"/>
    <x v="1"/>
    <x v="0"/>
    <x v="35"/>
    <x v="1"/>
    <x v="0"/>
    <m/>
  </r>
  <r>
    <n v="19784"/>
    <x v="0"/>
    <x v="0"/>
    <n v="80000"/>
    <n v="2"/>
    <x v="2"/>
    <s v="Skilled Manual"/>
    <s v="Yes"/>
    <n v="2"/>
    <x v="2"/>
    <x v="1"/>
    <x v="5"/>
    <x v="0"/>
    <x v="1"/>
    <m/>
  </r>
  <r>
    <n v="27824"/>
    <x v="1"/>
    <x v="0"/>
    <n v="30000"/>
    <n v="3"/>
    <x v="1"/>
    <s v="Clerical"/>
    <s v="Yes"/>
    <n v="2"/>
    <x v="0"/>
    <x v="0"/>
    <x v="26"/>
    <x v="2"/>
    <x v="1"/>
    <m/>
  </r>
  <r>
    <n v="24093"/>
    <x v="1"/>
    <x v="0"/>
    <n v="80000"/>
    <n v="0"/>
    <x v="4"/>
    <s v="Skilled Manual"/>
    <s v="No"/>
    <n v="0"/>
    <x v="0"/>
    <x v="0"/>
    <x v="8"/>
    <x v="0"/>
    <x v="1"/>
    <m/>
  </r>
  <r>
    <n v="19618"/>
    <x v="0"/>
    <x v="1"/>
    <n v="70000"/>
    <n v="5"/>
    <x v="1"/>
    <s v="Skilled Manual"/>
    <s v="Yes"/>
    <n v="2"/>
    <x v="0"/>
    <x v="1"/>
    <x v="20"/>
    <x v="0"/>
    <x v="0"/>
    <m/>
  </r>
  <r>
    <n v="21561"/>
    <x v="1"/>
    <x v="1"/>
    <n v="90000"/>
    <n v="0"/>
    <x v="0"/>
    <s v="Professional"/>
    <s v="No"/>
    <n v="3"/>
    <x v="4"/>
    <x v="1"/>
    <x v="17"/>
    <x v="0"/>
    <x v="1"/>
    <m/>
  </r>
  <r>
    <n v="11061"/>
    <x v="0"/>
    <x v="1"/>
    <n v="70000"/>
    <n v="2"/>
    <x v="1"/>
    <s v="Skilled Manual"/>
    <s v="Yes"/>
    <n v="2"/>
    <x v="2"/>
    <x v="1"/>
    <x v="31"/>
    <x v="0"/>
    <x v="1"/>
    <m/>
  </r>
  <r>
    <n v="26651"/>
    <x v="1"/>
    <x v="1"/>
    <n v="80000"/>
    <n v="4"/>
    <x v="4"/>
    <s v="Management"/>
    <s v="Yes"/>
    <n v="0"/>
    <x v="0"/>
    <x v="1"/>
    <x v="4"/>
    <x v="0"/>
    <x v="1"/>
    <m/>
  </r>
  <r>
    <n v="21108"/>
    <x v="0"/>
    <x v="0"/>
    <n v="40000"/>
    <n v="1"/>
    <x v="0"/>
    <s v="Skilled Manual"/>
    <s v="Yes"/>
    <n v="1"/>
    <x v="0"/>
    <x v="0"/>
    <x v="1"/>
    <x v="0"/>
    <x v="1"/>
    <m/>
  </r>
  <r>
    <n v="12731"/>
    <x v="1"/>
    <x v="1"/>
    <n v="30000"/>
    <n v="0"/>
    <x v="2"/>
    <s v="Manual"/>
    <s v="No"/>
    <n v="1"/>
    <x v="3"/>
    <x v="0"/>
    <x v="21"/>
    <x v="0"/>
    <x v="0"/>
    <m/>
  </r>
  <r>
    <n v="25307"/>
    <x v="0"/>
    <x v="0"/>
    <n v="40000"/>
    <n v="1"/>
    <x v="0"/>
    <s v="Skilled Manual"/>
    <s v="Yes"/>
    <n v="1"/>
    <x v="3"/>
    <x v="0"/>
    <x v="21"/>
    <x v="0"/>
    <x v="1"/>
    <m/>
  </r>
  <r>
    <n v="14278"/>
    <x v="0"/>
    <x v="0"/>
    <n v="130000"/>
    <n v="0"/>
    <x v="4"/>
    <s v="Management"/>
    <s v="Yes"/>
    <n v="1"/>
    <x v="4"/>
    <x v="1"/>
    <x v="28"/>
    <x v="0"/>
    <x v="0"/>
    <m/>
  </r>
  <r>
    <n v="20711"/>
    <x v="0"/>
    <x v="0"/>
    <n v="40000"/>
    <n v="1"/>
    <x v="0"/>
    <s v="Skilled Manual"/>
    <s v="Yes"/>
    <n v="0"/>
    <x v="3"/>
    <x v="0"/>
    <x v="21"/>
    <x v="0"/>
    <x v="1"/>
    <m/>
  </r>
  <r>
    <n v="11383"/>
    <x v="0"/>
    <x v="0"/>
    <n v="30000"/>
    <n v="3"/>
    <x v="4"/>
    <s v="Clerical"/>
    <s v="Yes"/>
    <n v="0"/>
    <x v="0"/>
    <x v="0"/>
    <x v="30"/>
    <x v="0"/>
    <x v="0"/>
    <m/>
  </r>
  <r>
    <n v="12497"/>
    <x v="0"/>
    <x v="0"/>
    <n v="40000"/>
    <n v="1"/>
    <x v="0"/>
    <s v="Skilled Manual"/>
    <s v="Yes"/>
    <n v="0"/>
    <x v="0"/>
    <x v="0"/>
    <x v="0"/>
    <x v="0"/>
    <x v="0"/>
    <m/>
  </r>
  <r>
    <n v="16559"/>
    <x v="1"/>
    <x v="0"/>
    <n v="10000"/>
    <n v="2"/>
    <x v="2"/>
    <s v="Manual"/>
    <s v="Yes"/>
    <n v="0"/>
    <x v="0"/>
    <x v="0"/>
    <x v="4"/>
    <x v="0"/>
    <x v="1"/>
    <m/>
  </r>
  <r>
    <n v="11585"/>
    <x v="0"/>
    <x v="0"/>
    <n v="40000"/>
    <n v="1"/>
    <x v="0"/>
    <s v="Skilled Manual"/>
    <s v="Yes"/>
    <n v="0"/>
    <x v="0"/>
    <x v="0"/>
    <x v="3"/>
    <x v="0"/>
    <x v="0"/>
    <m/>
  </r>
  <r>
    <n v="20277"/>
    <x v="0"/>
    <x v="0"/>
    <n v="30000"/>
    <n v="2"/>
    <x v="1"/>
    <s v="Clerical"/>
    <s v="No"/>
    <n v="2"/>
    <x v="0"/>
    <x v="1"/>
    <x v="45"/>
    <x v="1"/>
    <x v="0"/>
    <m/>
  </r>
  <r>
    <n v="26765"/>
    <x v="1"/>
    <x v="0"/>
    <n v="70000"/>
    <n v="5"/>
    <x v="1"/>
    <s v="Skilled Manual"/>
    <s v="Yes"/>
    <n v="2"/>
    <x v="2"/>
    <x v="1"/>
    <x v="12"/>
    <x v="0"/>
    <x v="0"/>
    <m/>
  </r>
  <r>
    <n v="12389"/>
    <x v="1"/>
    <x v="1"/>
    <n v="30000"/>
    <n v="0"/>
    <x v="2"/>
    <s v="Manual"/>
    <s v="No"/>
    <n v="1"/>
    <x v="1"/>
    <x v="0"/>
    <x v="17"/>
    <x v="0"/>
    <x v="0"/>
    <m/>
  </r>
  <r>
    <n v="13585"/>
    <x v="0"/>
    <x v="0"/>
    <n v="80000"/>
    <n v="4"/>
    <x v="1"/>
    <s v="Professional"/>
    <s v="No"/>
    <n v="1"/>
    <x v="1"/>
    <x v="0"/>
    <x v="39"/>
    <x v="0"/>
    <x v="1"/>
    <m/>
  </r>
  <r>
    <n v="26385"/>
    <x v="1"/>
    <x v="1"/>
    <n v="120000"/>
    <n v="3"/>
    <x v="2"/>
    <s v="Professional"/>
    <s v="No"/>
    <n v="4"/>
    <x v="2"/>
    <x v="0"/>
    <x v="5"/>
    <x v="0"/>
    <x v="0"/>
    <m/>
  </r>
  <r>
    <n v="12236"/>
    <x v="0"/>
    <x v="0"/>
    <n v="20000"/>
    <n v="1"/>
    <x v="1"/>
    <s v="Manual"/>
    <s v="Yes"/>
    <n v="0"/>
    <x v="0"/>
    <x v="0"/>
    <x v="27"/>
    <x v="1"/>
    <x v="0"/>
    <m/>
  </r>
  <r>
    <n v="21560"/>
    <x v="0"/>
    <x v="1"/>
    <n v="120000"/>
    <n v="0"/>
    <x v="3"/>
    <s v="Professional"/>
    <s v="Yes"/>
    <n v="4"/>
    <x v="4"/>
    <x v="1"/>
    <x v="21"/>
    <x v="0"/>
    <x v="1"/>
    <m/>
  </r>
  <r>
    <n v="21554"/>
    <x v="1"/>
    <x v="0"/>
    <n v="80000"/>
    <n v="0"/>
    <x v="0"/>
    <s v="Professional"/>
    <s v="No"/>
    <n v="3"/>
    <x v="4"/>
    <x v="1"/>
    <x v="6"/>
    <x v="0"/>
    <x v="0"/>
    <m/>
  </r>
  <r>
    <n v="13662"/>
    <x v="1"/>
    <x v="1"/>
    <n v="20000"/>
    <n v="0"/>
    <x v="3"/>
    <s v="Manual"/>
    <s v="Yes"/>
    <n v="2"/>
    <x v="3"/>
    <x v="0"/>
    <x v="23"/>
    <x v="0"/>
    <x v="1"/>
    <m/>
  </r>
  <r>
    <n v="13089"/>
    <x v="0"/>
    <x v="0"/>
    <n v="120000"/>
    <n v="1"/>
    <x v="0"/>
    <s v="Management"/>
    <s v="Yes"/>
    <n v="2"/>
    <x v="0"/>
    <x v="1"/>
    <x v="30"/>
    <x v="0"/>
    <x v="1"/>
    <m/>
  </r>
  <r>
    <n v="14791"/>
    <x v="0"/>
    <x v="0"/>
    <n v="40000"/>
    <n v="0"/>
    <x v="0"/>
    <s v="Clerical"/>
    <s v="Yes"/>
    <n v="0"/>
    <x v="0"/>
    <x v="0"/>
    <x v="32"/>
    <x v="0"/>
    <x v="1"/>
    <m/>
  </r>
  <r>
    <n v="19331"/>
    <x v="1"/>
    <x v="1"/>
    <n v="20000"/>
    <n v="2"/>
    <x v="2"/>
    <s v="Manual"/>
    <s v="Yes"/>
    <n v="1"/>
    <x v="0"/>
    <x v="0"/>
    <x v="8"/>
    <x v="0"/>
    <x v="0"/>
    <m/>
  </r>
  <r>
    <n v="17754"/>
    <x v="1"/>
    <x v="0"/>
    <n v="30000"/>
    <n v="3"/>
    <x v="0"/>
    <s v="Clerical"/>
    <s v="Yes"/>
    <n v="0"/>
    <x v="0"/>
    <x v="0"/>
    <x v="30"/>
    <x v="0"/>
    <x v="1"/>
    <m/>
  </r>
  <r>
    <n v="11149"/>
    <x v="0"/>
    <x v="1"/>
    <n v="40000"/>
    <n v="2"/>
    <x v="0"/>
    <s v="Management"/>
    <s v="Yes"/>
    <n v="2"/>
    <x v="0"/>
    <x v="1"/>
    <x v="27"/>
    <x v="1"/>
    <x v="0"/>
    <m/>
  </r>
  <r>
    <n v="16549"/>
    <x v="1"/>
    <x v="0"/>
    <n v="30000"/>
    <n v="3"/>
    <x v="0"/>
    <s v="Clerical"/>
    <s v="Yes"/>
    <n v="0"/>
    <x v="0"/>
    <x v="0"/>
    <x v="15"/>
    <x v="0"/>
    <x v="1"/>
    <m/>
  </r>
  <r>
    <n v="24305"/>
    <x v="1"/>
    <x v="1"/>
    <n v="100000"/>
    <n v="1"/>
    <x v="0"/>
    <s v="Management"/>
    <s v="No"/>
    <n v="3"/>
    <x v="0"/>
    <x v="1"/>
    <x v="30"/>
    <x v="0"/>
    <x v="1"/>
    <m/>
  </r>
  <r>
    <n v="18253"/>
    <x v="0"/>
    <x v="0"/>
    <n v="80000"/>
    <n v="5"/>
    <x v="4"/>
    <s v="Management"/>
    <s v="Yes"/>
    <n v="3"/>
    <x v="0"/>
    <x v="1"/>
    <x v="8"/>
    <x v="0"/>
    <x v="0"/>
    <m/>
  </r>
  <r>
    <n v="20147"/>
    <x v="0"/>
    <x v="0"/>
    <n v="30000"/>
    <n v="1"/>
    <x v="0"/>
    <s v="Clerical"/>
    <s v="Yes"/>
    <n v="0"/>
    <x v="0"/>
    <x v="0"/>
    <x v="27"/>
    <x v="1"/>
    <x v="0"/>
    <m/>
  </r>
  <r>
    <n v="15612"/>
    <x v="1"/>
    <x v="1"/>
    <n v="30000"/>
    <n v="0"/>
    <x v="2"/>
    <s v="Manual"/>
    <s v="No"/>
    <n v="1"/>
    <x v="3"/>
    <x v="0"/>
    <x v="26"/>
    <x v="2"/>
    <x v="0"/>
    <m/>
  </r>
  <r>
    <n v="28323"/>
    <x v="1"/>
    <x v="1"/>
    <n v="70000"/>
    <n v="0"/>
    <x v="0"/>
    <s v="Professional"/>
    <s v="No"/>
    <n v="2"/>
    <x v="2"/>
    <x v="1"/>
    <x v="1"/>
    <x v="0"/>
    <x v="1"/>
    <m/>
  </r>
  <r>
    <n v="22634"/>
    <x v="1"/>
    <x v="0"/>
    <n v="40000"/>
    <n v="0"/>
    <x v="4"/>
    <s v="Clerical"/>
    <s v="Yes"/>
    <n v="0"/>
    <x v="0"/>
    <x v="0"/>
    <x v="13"/>
    <x v="0"/>
    <x v="1"/>
    <m/>
  </r>
  <r>
    <n v="15665"/>
    <x v="0"/>
    <x v="0"/>
    <n v="30000"/>
    <n v="0"/>
    <x v="0"/>
    <s v="Clerical"/>
    <s v="Yes"/>
    <n v="0"/>
    <x v="0"/>
    <x v="0"/>
    <x v="15"/>
    <x v="0"/>
    <x v="1"/>
    <m/>
  </r>
  <r>
    <n v="27585"/>
    <x v="0"/>
    <x v="0"/>
    <n v="90000"/>
    <n v="2"/>
    <x v="0"/>
    <s v="Professional"/>
    <s v="No"/>
    <n v="0"/>
    <x v="0"/>
    <x v="1"/>
    <x v="4"/>
    <x v="0"/>
    <x v="1"/>
    <m/>
  </r>
  <r>
    <n v="19748"/>
    <x v="0"/>
    <x v="1"/>
    <n v="20000"/>
    <n v="4"/>
    <x v="2"/>
    <s v="Skilled Manual"/>
    <s v="No"/>
    <n v="2"/>
    <x v="3"/>
    <x v="1"/>
    <x v="2"/>
    <x v="1"/>
    <x v="0"/>
    <m/>
  </r>
  <r>
    <n v="21974"/>
    <x v="1"/>
    <x v="0"/>
    <n v="70000"/>
    <n v="0"/>
    <x v="0"/>
    <s v="Professional"/>
    <s v="Yes"/>
    <n v="1"/>
    <x v="2"/>
    <x v="1"/>
    <x v="0"/>
    <x v="0"/>
    <x v="1"/>
    <m/>
  </r>
  <r>
    <n v="14032"/>
    <x v="0"/>
    <x v="1"/>
    <n v="70000"/>
    <n v="2"/>
    <x v="2"/>
    <s v="Skilled Manual"/>
    <s v="No"/>
    <n v="2"/>
    <x v="3"/>
    <x v="1"/>
    <x v="5"/>
    <x v="0"/>
    <x v="1"/>
    <m/>
  </r>
  <r>
    <n v="22610"/>
    <x v="0"/>
    <x v="1"/>
    <n v="30000"/>
    <n v="0"/>
    <x v="0"/>
    <s v="Clerical"/>
    <s v="Yes"/>
    <n v="0"/>
    <x v="0"/>
    <x v="0"/>
    <x v="11"/>
    <x v="0"/>
    <x v="1"/>
    <m/>
  </r>
  <r>
    <n v="26984"/>
    <x v="0"/>
    <x v="1"/>
    <n v="40000"/>
    <n v="1"/>
    <x v="0"/>
    <s v="Skilled Manual"/>
    <s v="Yes"/>
    <n v="1"/>
    <x v="0"/>
    <x v="0"/>
    <x v="21"/>
    <x v="0"/>
    <x v="1"/>
    <m/>
  </r>
  <r>
    <n v="18294"/>
    <x v="0"/>
    <x v="0"/>
    <n v="90000"/>
    <n v="1"/>
    <x v="0"/>
    <s v="Professional"/>
    <s v="Yes"/>
    <n v="1"/>
    <x v="2"/>
    <x v="1"/>
    <x v="30"/>
    <x v="0"/>
    <x v="0"/>
    <m/>
  </r>
  <r>
    <n v="28564"/>
    <x v="1"/>
    <x v="0"/>
    <n v="40000"/>
    <n v="2"/>
    <x v="1"/>
    <s v="Clerical"/>
    <s v="Yes"/>
    <n v="0"/>
    <x v="3"/>
    <x v="0"/>
    <x v="6"/>
    <x v="0"/>
    <x v="1"/>
    <m/>
  </r>
  <r>
    <n v="28521"/>
    <x v="1"/>
    <x v="1"/>
    <n v="40000"/>
    <n v="0"/>
    <x v="4"/>
    <s v="Clerical"/>
    <s v="No"/>
    <n v="0"/>
    <x v="0"/>
    <x v="0"/>
    <x v="4"/>
    <x v="0"/>
    <x v="1"/>
    <m/>
  </r>
  <r>
    <n v="15450"/>
    <x v="0"/>
    <x v="1"/>
    <n v="10000"/>
    <n v="1"/>
    <x v="4"/>
    <s v="Clerical"/>
    <s v="Yes"/>
    <n v="0"/>
    <x v="0"/>
    <x v="0"/>
    <x v="43"/>
    <x v="1"/>
    <x v="0"/>
    <m/>
  </r>
  <r>
    <n v="25681"/>
    <x v="1"/>
    <x v="0"/>
    <n v="30000"/>
    <n v="0"/>
    <x v="1"/>
    <s v="Clerical"/>
    <s v="No"/>
    <n v="1"/>
    <x v="1"/>
    <x v="0"/>
    <x v="23"/>
    <x v="0"/>
    <x v="1"/>
    <m/>
  </r>
  <r>
    <n v="19491"/>
    <x v="1"/>
    <x v="1"/>
    <n v="30000"/>
    <n v="2"/>
    <x v="1"/>
    <s v="Clerical"/>
    <s v="Yes"/>
    <n v="2"/>
    <x v="0"/>
    <x v="0"/>
    <x v="0"/>
    <x v="0"/>
    <x v="0"/>
    <m/>
  </r>
  <r>
    <n v="26415"/>
    <x v="0"/>
    <x v="0"/>
    <n v="90000"/>
    <n v="4"/>
    <x v="3"/>
    <s v="Skilled Manual"/>
    <s v="Yes"/>
    <n v="4"/>
    <x v="4"/>
    <x v="0"/>
    <x v="7"/>
    <x v="1"/>
    <x v="0"/>
    <m/>
  </r>
  <r>
    <n v="12821"/>
    <x v="0"/>
    <x v="1"/>
    <n v="40000"/>
    <n v="0"/>
    <x v="0"/>
    <s v="Clerical"/>
    <s v="Yes"/>
    <n v="0"/>
    <x v="0"/>
    <x v="0"/>
    <x v="32"/>
    <x v="0"/>
    <x v="0"/>
    <m/>
  </r>
  <r>
    <n v="15629"/>
    <x v="1"/>
    <x v="0"/>
    <n v="10000"/>
    <n v="0"/>
    <x v="3"/>
    <s v="Manual"/>
    <s v="Yes"/>
    <n v="2"/>
    <x v="3"/>
    <x v="0"/>
    <x v="17"/>
    <x v="0"/>
    <x v="0"/>
    <m/>
  </r>
  <r>
    <n v="27835"/>
    <x v="0"/>
    <x v="1"/>
    <n v="20000"/>
    <n v="0"/>
    <x v="3"/>
    <s v="Manual"/>
    <s v="Yes"/>
    <n v="2"/>
    <x v="0"/>
    <x v="0"/>
    <x v="21"/>
    <x v="0"/>
    <x v="0"/>
    <m/>
  </r>
  <r>
    <n v="11738"/>
    <x v="0"/>
    <x v="1"/>
    <n v="60000"/>
    <n v="4"/>
    <x v="0"/>
    <s v="Professional"/>
    <s v="Yes"/>
    <n v="0"/>
    <x v="1"/>
    <x v="2"/>
    <x v="30"/>
    <x v="0"/>
    <x v="0"/>
    <m/>
  </r>
  <r>
    <n v="25065"/>
    <x v="0"/>
    <x v="1"/>
    <n v="70000"/>
    <n v="2"/>
    <x v="3"/>
    <s v="Skilled Manual"/>
    <s v="Yes"/>
    <n v="2"/>
    <x v="2"/>
    <x v="2"/>
    <x v="28"/>
    <x v="0"/>
    <x v="0"/>
    <m/>
  </r>
  <r>
    <n v="26238"/>
    <x v="1"/>
    <x v="0"/>
    <n v="40000"/>
    <n v="3"/>
    <x v="1"/>
    <s v="Clerical"/>
    <s v="Yes"/>
    <n v="1"/>
    <x v="3"/>
    <x v="2"/>
    <x v="23"/>
    <x v="0"/>
    <x v="1"/>
    <m/>
  </r>
  <r>
    <n v="23707"/>
    <x v="1"/>
    <x v="1"/>
    <n v="70000"/>
    <n v="5"/>
    <x v="0"/>
    <s v="Management"/>
    <s v="Yes"/>
    <n v="3"/>
    <x v="4"/>
    <x v="2"/>
    <x v="2"/>
    <x v="1"/>
    <x v="1"/>
    <m/>
  </r>
  <r>
    <n v="27650"/>
    <x v="0"/>
    <x v="1"/>
    <n v="70000"/>
    <n v="4"/>
    <x v="2"/>
    <s v="Professional"/>
    <s v="Yes"/>
    <n v="0"/>
    <x v="2"/>
    <x v="2"/>
    <x v="36"/>
    <x v="0"/>
    <x v="0"/>
    <m/>
  </r>
  <r>
    <n v="24981"/>
    <x v="0"/>
    <x v="1"/>
    <n v="60000"/>
    <n v="2"/>
    <x v="1"/>
    <s v="Professional"/>
    <s v="Yes"/>
    <n v="2"/>
    <x v="4"/>
    <x v="2"/>
    <x v="16"/>
    <x v="1"/>
    <x v="0"/>
    <m/>
  </r>
  <r>
    <n v="20678"/>
    <x v="1"/>
    <x v="0"/>
    <n v="60000"/>
    <n v="3"/>
    <x v="0"/>
    <s v="Skilled Manual"/>
    <s v="Yes"/>
    <n v="1"/>
    <x v="1"/>
    <x v="2"/>
    <x v="8"/>
    <x v="0"/>
    <x v="1"/>
    <m/>
  </r>
  <r>
    <n v="15302"/>
    <x v="1"/>
    <x v="0"/>
    <n v="70000"/>
    <n v="1"/>
    <x v="4"/>
    <s v="Professional"/>
    <s v="Yes"/>
    <n v="0"/>
    <x v="1"/>
    <x v="2"/>
    <x v="17"/>
    <x v="0"/>
    <x v="1"/>
    <m/>
  </r>
  <r>
    <n v="26012"/>
    <x v="0"/>
    <x v="1"/>
    <n v="80000"/>
    <n v="1"/>
    <x v="1"/>
    <s v="Skilled Manual"/>
    <s v="Yes"/>
    <n v="1"/>
    <x v="1"/>
    <x v="2"/>
    <x v="28"/>
    <x v="0"/>
    <x v="1"/>
    <m/>
  </r>
  <r>
    <n v="26575"/>
    <x v="1"/>
    <x v="0"/>
    <n v="40000"/>
    <n v="0"/>
    <x v="2"/>
    <s v="Skilled Manual"/>
    <s v="No"/>
    <n v="2"/>
    <x v="3"/>
    <x v="2"/>
    <x v="23"/>
    <x v="0"/>
    <x v="1"/>
    <m/>
  </r>
  <r>
    <n v="15559"/>
    <x v="0"/>
    <x v="1"/>
    <n v="60000"/>
    <n v="5"/>
    <x v="0"/>
    <s v="Professional"/>
    <s v="Yes"/>
    <n v="1"/>
    <x v="1"/>
    <x v="2"/>
    <x v="15"/>
    <x v="0"/>
    <x v="0"/>
    <m/>
  </r>
  <r>
    <n v="19235"/>
    <x v="0"/>
    <x v="0"/>
    <n v="50000"/>
    <n v="0"/>
    <x v="4"/>
    <s v="Skilled Manual"/>
    <s v="Yes"/>
    <n v="0"/>
    <x v="0"/>
    <x v="2"/>
    <x v="17"/>
    <x v="0"/>
    <x v="0"/>
    <m/>
  </r>
  <r>
    <n v="15275"/>
    <x v="0"/>
    <x v="1"/>
    <n v="40000"/>
    <n v="0"/>
    <x v="1"/>
    <s v="Skilled Manual"/>
    <s v="Yes"/>
    <n v="1"/>
    <x v="2"/>
    <x v="2"/>
    <x v="19"/>
    <x v="2"/>
    <x v="0"/>
    <m/>
  </r>
  <r>
    <n v="20339"/>
    <x v="0"/>
    <x v="0"/>
    <n v="130000"/>
    <n v="1"/>
    <x v="0"/>
    <s v="Management"/>
    <s v="Yes"/>
    <n v="4"/>
    <x v="1"/>
    <x v="2"/>
    <x v="20"/>
    <x v="0"/>
    <x v="1"/>
    <m/>
  </r>
  <r>
    <n v="25405"/>
    <x v="0"/>
    <x v="1"/>
    <n v="70000"/>
    <n v="2"/>
    <x v="0"/>
    <s v="Skilled Manual"/>
    <s v="Yes"/>
    <n v="1"/>
    <x v="1"/>
    <x v="2"/>
    <x v="13"/>
    <x v="0"/>
    <x v="1"/>
    <m/>
  </r>
  <r>
    <n v="15940"/>
    <x v="0"/>
    <x v="1"/>
    <n v="100000"/>
    <n v="4"/>
    <x v="1"/>
    <s v="Professional"/>
    <s v="Yes"/>
    <n v="4"/>
    <x v="0"/>
    <x v="2"/>
    <x v="8"/>
    <x v="0"/>
    <x v="0"/>
    <m/>
  </r>
  <r>
    <n v="25074"/>
    <x v="0"/>
    <x v="0"/>
    <n v="70000"/>
    <n v="4"/>
    <x v="0"/>
    <s v="Professional"/>
    <s v="Yes"/>
    <n v="2"/>
    <x v="1"/>
    <x v="2"/>
    <x v="0"/>
    <x v="0"/>
    <x v="1"/>
    <m/>
  </r>
  <r>
    <n v="24738"/>
    <x v="0"/>
    <x v="0"/>
    <n v="40000"/>
    <n v="1"/>
    <x v="1"/>
    <s v="Clerical"/>
    <s v="Yes"/>
    <n v="1"/>
    <x v="3"/>
    <x v="2"/>
    <x v="36"/>
    <x v="0"/>
    <x v="1"/>
    <m/>
  </r>
  <r>
    <n v="16337"/>
    <x v="0"/>
    <x v="1"/>
    <n v="60000"/>
    <n v="0"/>
    <x v="1"/>
    <s v="Skilled Manual"/>
    <s v="No"/>
    <n v="2"/>
    <x v="3"/>
    <x v="2"/>
    <x v="19"/>
    <x v="2"/>
    <x v="0"/>
    <m/>
  </r>
  <r>
    <n v="24357"/>
    <x v="0"/>
    <x v="1"/>
    <n v="80000"/>
    <n v="3"/>
    <x v="0"/>
    <s v="Professional"/>
    <s v="Yes"/>
    <n v="1"/>
    <x v="1"/>
    <x v="2"/>
    <x v="28"/>
    <x v="0"/>
    <x v="1"/>
    <m/>
  </r>
  <r>
    <n v="18613"/>
    <x v="1"/>
    <x v="1"/>
    <n v="70000"/>
    <n v="0"/>
    <x v="0"/>
    <s v="Professional"/>
    <s v="No"/>
    <n v="1"/>
    <x v="1"/>
    <x v="2"/>
    <x v="34"/>
    <x v="0"/>
    <x v="1"/>
    <m/>
  </r>
  <r>
    <n v="12207"/>
    <x v="1"/>
    <x v="1"/>
    <n v="80000"/>
    <n v="4"/>
    <x v="0"/>
    <s v="Management"/>
    <s v="Yes"/>
    <n v="0"/>
    <x v="2"/>
    <x v="2"/>
    <x v="29"/>
    <x v="1"/>
    <x v="1"/>
    <m/>
  </r>
  <r>
    <n v="18052"/>
    <x v="0"/>
    <x v="0"/>
    <n v="60000"/>
    <n v="1"/>
    <x v="1"/>
    <s v="Skilled Manual"/>
    <s v="Yes"/>
    <n v="1"/>
    <x v="0"/>
    <x v="2"/>
    <x v="12"/>
    <x v="0"/>
    <x v="1"/>
    <m/>
  </r>
  <r>
    <n v="13353"/>
    <x v="1"/>
    <x v="0"/>
    <n v="60000"/>
    <n v="4"/>
    <x v="4"/>
    <s v="Management"/>
    <s v="Yes"/>
    <n v="2"/>
    <x v="4"/>
    <x v="2"/>
    <x v="33"/>
    <x v="1"/>
    <x v="1"/>
    <m/>
  </r>
  <r>
    <n v="19399"/>
    <x v="1"/>
    <x v="1"/>
    <n v="40000"/>
    <n v="0"/>
    <x v="0"/>
    <s v="Professional"/>
    <s v="No"/>
    <n v="1"/>
    <x v="1"/>
    <x v="2"/>
    <x v="12"/>
    <x v="0"/>
    <x v="0"/>
    <m/>
  </r>
  <r>
    <n v="16154"/>
    <x v="0"/>
    <x v="0"/>
    <n v="70000"/>
    <n v="5"/>
    <x v="0"/>
    <s v="Professional"/>
    <s v="Yes"/>
    <n v="2"/>
    <x v="1"/>
    <x v="2"/>
    <x v="15"/>
    <x v="0"/>
    <x v="0"/>
    <m/>
  </r>
  <r>
    <n v="22219"/>
    <x v="0"/>
    <x v="0"/>
    <n v="60000"/>
    <n v="2"/>
    <x v="2"/>
    <s v="Professional"/>
    <s v="Yes"/>
    <n v="2"/>
    <x v="2"/>
    <x v="2"/>
    <x v="38"/>
    <x v="0"/>
    <x v="0"/>
    <m/>
  </r>
  <r>
    <n v="17269"/>
    <x v="1"/>
    <x v="1"/>
    <n v="60000"/>
    <n v="3"/>
    <x v="0"/>
    <s v="Professional"/>
    <s v="No"/>
    <n v="0"/>
    <x v="0"/>
    <x v="2"/>
    <x v="15"/>
    <x v="0"/>
    <x v="1"/>
    <m/>
  </r>
  <r>
    <n v="23586"/>
    <x v="0"/>
    <x v="0"/>
    <n v="80000"/>
    <n v="0"/>
    <x v="0"/>
    <s v="Management"/>
    <s v="Yes"/>
    <n v="1"/>
    <x v="3"/>
    <x v="2"/>
    <x v="17"/>
    <x v="0"/>
    <x v="1"/>
    <m/>
  </r>
  <r>
    <n v="15740"/>
    <x v="0"/>
    <x v="1"/>
    <n v="80000"/>
    <n v="5"/>
    <x v="0"/>
    <s v="Management"/>
    <s v="Yes"/>
    <n v="2"/>
    <x v="3"/>
    <x v="2"/>
    <x v="46"/>
    <x v="1"/>
    <x v="0"/>
    <m/>
  </r>
  <r>
    <n v="27638"/>
    <x v="1"/>
    <x v="1"/>
    <n v="100000"/>
    <n v="1"/>
    <x v="1"/>
    <s v="Professional"/>
    <s v="No"/>
    <n v="3"/>
    <x v="3"/>
    <x v="2"/>
    <x v="20"/>
    <x v="0"/>
    <x v="0"/>
    <m/>
  </r>
  <r>
    <n v="18976"/>
    <x v="1"/>
    <x v="1"/>
    <n v="40000"/>
    <n v="4"/>
    <x v="2"/>
    <s v="Professional"/>
    <s v="Yes"/>
    <n v="2"/>
    <x v="4"/>
    <x v="2"/>
    <x v="24"/>
    <x v="1"/>
    <x v="1"/>
    <m/>
  </r>
  <r>
    <n v="19413"/>
    <x v="1"/>
    <x v="1"/>
    <n v="60000"/>
    <n v="3"/>
    <x v="0"/>
    <s v="Professional"/>
    <s v="No"/>
    <n v="1"/>
    <x v="0"/>
    <x v="2"/>
    <x v="15"/>
    <x v="0"/>
    <x v="1"/>
    <m/>
  </r>
  <r>
    <n v="13283"/>
    <x v="0"/>
    <x v="1"/>
    <n v="80000"/>
    <n v="3"/>
    <x v="1"/>
    <s v="Professional"/>
    <s v="No"/>
    <n v="2"/>
    <x v="0"/>
    <x v="2"/>
    <x v="38"/>
    <x v="0"/>
    <x v="1"/>
    <m/>
  </r>
  <r>
    <n v="17471"/>
    <x v="1"/>
    <x v="0"/>
    <n v="80000"/>
    <n v="4"/>
    <x v="4"/>
    <s v="Management"/>
    <s v="Yes"/>
    <n v="2"/>
    <x v="2"/>
    <x v="2"/>
    <x v="41"/>
    <x v="1"/>
    <x v="0"/>
    <m/>
  </r>
  <r>
    <n v="16791"/>
    <x v="1"/>
    <x v="1"/>
    <n v="60000"/>
    <n v="5"/>
    <x v="0"/>
    <s v="Management"/>
    <s v="Yes"/>
    <n v="3"/>
    <x v="4"/>
    <x v="2"/>
    <x v="14"/>
    <x v="1"/>
    <x v="1"/>
    <m/>
  </r>
  <r>
    <n v="15382"/>
    <x v="0"/>
    <x v="0"/>
    <n v="110000"/>
    <n v="1"/>
    <x v="0"/>
    <s v="Management"/>
    <s v="Yes"/>
    <n v="2"/>
    <x v="3"/>
    <x v="2"/>
    <x v="20"/>
    <x v="0"/>
    <x v="0"/>
    <m/>
  </r>
  <r>
    <n v="11641"/>
    <x v="0"/>
    <x v="1"/>
    <n v="50000"/>
    <n v="1"/>
    <x v="0"/>
    <s v="Skilled Manual"/>
    <s v="Yes"/>
    <n v="0"/>
    <x v="0"/>
    <x v="2"/>
    <x v="4"/>
    <x v="0"/>
    <x v="0"/>
    <m/>
  </r>
  <r>
    <n v="11935"/>
    <x v="1"/>
    <x v="0"/>
    <n v="30000"/>
    <n v="0"/>
    <x v="1"/>
    <s v="Skilled Manual"/>
    <s v="Yes"/>
    <n v="1"/>
    <x v="2"/>
    <x v="2"/>
    <x v="26"/>
    <x v="2"/>
    <x v="0"/>
    <m/>
  </r>
  <r>
    <n v="13233"/>
    <x v="0"/>
    <x v="1"/>
    <n v="60000"/>
    <n v="2"/>
    <x v="1"/>
    <s v="Professional"/>
    <s v="Yes"/>
    <n v="1"/>
    <x v="4"/>
    <x v="2"/>
    <x v="42"/>
    <x v="1"/>
    <x v="1"/>
    <m/>
  </r>
  <r>
    <n v="25909"/>
    <x v="0"/>
    <x v="1"/>
    <n v="60000"/>
    <n v="0"/>
    <x v="1"/>
    <s v="Skilled Manual"/>
    <s v="Yes"/>
    <n v="1"/>
    <x v="2"/>
    <x v="2"/>
    <x v="40"/>
    <x v="2"/>
    <x v="1"/>
    <m/>
  </r>
  <r>
    <n v="14092"/>
    <x v="1"/>
    <x v="1"/>
    <n v="30000"/>
    <n v="0"/>
    <x v="3"/>
    <s v="Clerical"/>
    <s v="Yes"/>
    <n v="2"/>
    <x v="2"/>
    <x v="2"/>
    <x v="26"/>
    <x v="2"/>
    <x v="0"/>
    <m/>
  </r>
  <r>
    <n v="29143"/>
    <x v="1"/>
    <x v="0"/>
    <n v="60000"/>
    <n v="1"/>
    <x v="0"/>
    <s v="Professional"/>
    <s v="No"/>
    <n v="1"/>
    <x v="0"/>
    <x v="2"/>
    <x v="20"/>
    <x v="0"/>
    <x v="1"/>
    <m/>
  </r>
  <r>
    <n v="24941"/>
    <x v="0"/>
    <x v="1"/>
    <n v="60000"/>
    <n v="3"/>
    <x v="0"/>
    <s v="Management"/>
    <s v="Yes"/>
    <n v="2"/>
    <x v="4"/>
    <x v="2"/>
    <x v="29"/>
    <x v="1"/>
    <x v="0"/>
    <m/>
  </r>
  <r>
    <n v="24637"/>
    <x v="0"/>
    <x v="1"/>
    <n v="40000"/>
    <n v="4"/>
    <x v="2"/>
    <s v="Professional"/>
    <s v="Yes"/>
    <n v="2"/>
    <x v="4"/>
    <x v="2"/>
    <x v="46"/>
    <x v="1"/>
    <x v="0"/>
    <m/>
  </r>
  <r>
    <n v="23893"/>
    <x v="0"/>
    <x v="1"/>
    <n v="50000"/>
    <n v="3"/>
    <x v="0"/>
    <s v="Skilled Manual"/>
    <s v="Yes"/>
    <n v="3"/>
    <x v="4"/>
    <x v="2"/>
    <x v="3"/>
    <x v="0"/>
    <x v="0"/>
    <m/>
  </r>
  <r>
    <n v="13907"/>
    <x v="1"/>
    <x v="0"/>
    <n v="80000"/>
    <n v="3"/>
    <x v="0"/>
    <s v="Skilled Manual"/>
    <s v="Yes"/>
    <n v="1"/>
    <x v="0"/>
    <x v="2"/>
    <x v="3"/>
    <x v="0"/>
    <x v="1"/>
    <m/>
  </r>
  <r>
    <n v="14900"/>
    <x v="0"/>
    <x v="0"/>
    <n v="40000"/>
    <n v="1"/>
    <x v="1"/>
    <s v="Clerical"/>
    <s v="Yes"/>
    <n v="1"/>
    <x v="3"/>
    <x v="2"/>
    <x v="38"/>
    <x v="0"/>
    <x v="1"/>
    <m/>
  </r>
  <r>
    <n v="11262"/>
    <x v="0"/>
    <x v="0"/>
    <n v="80000"/>
    <n v="4"/>
    <x v="0"/>
    <s v="Management"/>
    <s v="Yes"/>
    <n v="0"/>
    <x v="0"/>
    <x v="2"/>
    <x v="0"/>
    <x v="0"/>
    <x v="0"/>
    <m/>
  </r>
  <r>
    <n v="22294"/>
    <x v="1"/>
    <x v="0"/>
    <n v="70000"/>
    <n v="0"/>
    <x v="0"/>
    <s v="Professional"/>
    <s v="No"/>
    <n v="1"/>
    <x v="1"/>
    <x v="2"/>
    <x v="34"/>
    <x v="0"/>
    <x v="1"/>
    <m/>
  </r>
  <r>
    <n v="12195"/>
    <x v="1"/>
    <x v="0"/>
    <n v="70000"/>
    <n v="3"/>
    <x v="4"/>
    <s v="Management"/>
    <s v="Yes"/>
    <n v="2"/>
    <x v="3"/>
    <x v="2"/>
    <x v="31"/>
    <x v="0"/>
    <x v="0"/>
    <m/>
  </r>
  <r>
    <n v="25375"/>
    <x v="0"/>
    <x v="1"/>
    <n v="50000"/>
    <n v="1"/>
    <x v="4"/>
    <s v="Skilled Manual"/>
    <s v="Yes"/>
    <n v="0"/>
    <x v="3"/>
    <x v="2"/>
    <x v="17"/>
    <x v="0"/>
    <x v="0"/>
    <m/>
  </r>
  <r>
    <n v="11143"/>
    <x v="0"/>
    <x v="1"/>
    <n v="40000"/>
    <n v="0"/>
    <x v="2"/>
    <s v="Skilled Manual"/>
    <s v="Yes"/>
    <n v="2"/>
    <x v="2"/>
    <x v="2"/>
    <x v="19"/>
    <x v="2"/>
    <x v="0"/>
    <m/>
  </r>
  <r>
    <n v="25898"/>
    <x v="0"/>
    <x v="0"/>
    <n v="70000"/>
    <n v="2"/>
    <x v="2"/>
    <s v="Professional"/>
    <s v="Yes"/>
    <n v="2"/>
    <x v="1"/>
    <x v="2"/>
    <x v="39"/>
    <x v="0"/>
    <x v="0"/>
    <m/>
  </r>
  <r>
    <n v="24397"/>
    <x v="1"/>
    <x v="1"/>
    <n v="120000"/>
    <n v="2"/>
    <x v="0"/>
    <s v="Management"/>
    <s v="No"/>
    <n v="4"/>
    <x v="3"/>
    <x v="2"/>
    <x v="8"/>
    <x v="0"/>
    <x v="0"/>
    <m/>
  </r>
  <r>
    <n v="19758"/>
    <x v="1"/>
    <x v="1"/>
    <n v="60000"/>
    <n v="0"/>
    <x v="1"/>
    <s v="Skilled Manual"/>
    <s v="No"/>
    <n v="2"/>
    <x v="3"/>
    <x v="2"/>
    <x v="19"/>
    <x v="2"/>
    <x v="0"/>
    <m/>
  </r>
  <r>
    <n v="15529"/>
    <x v="0"/>
    <x v="1"/>
    <n v="60000"/>
    <n v="4"/>
    <x v="0"/>
    <s v="Professional"/>
    <s v="Yes"/>
    <n v="2"/>
    <x v="1"/>
    <x v="2"/>
    <x v="1"/>
    <x v="0"/>
    <x v="1"/>
    <m/>
  </r>
  <r>
    <n v="19884"/>
    <x v="0"/>
    <x v="1"/>
    <n v="60000"/>
    <n v="2"/>
    <x v="2"/>
    <s v="Professional"/>
    <s v="Yes"/>
    <n v="2"/>
    <x v="1"/>
    <x v="2"/>
    <x v="10"/>
    <x v="1"/>
    <x v="1"/>
    <m/>
  </r>
  <r>
    <n v="18674"/>
    <x v="1"/>
    <x v="0"/>
    <n v="80000"/>
    <n v="4"/>
    <x v="4"/>
    <s v="Skilled Manual"/>
    <s v="No"/>
    <n v="0"/>
    <x v="0"/>
    <x v="2"/>
    <x v="28"/>
    <x v="0"/>
    <x v="0"/>
    <m/>
  </r>
  <r>
    <n v="13453"/>
    <x v="0"/>
    <x v="0"/>
    <n v="130000"/>
    <n v="3"/>
    <x v="0"/>
    <s v="Management"/>
    <s v="Yes"/>
    <n v="3"/>
    <x v="0"/>
    <x v="2"/>
    <x v="12"/>
    <x v="0"/>
    <x v="1"/>
    <m/>
  </r>
  <r>
    <n v="14063"/>
    <x v="1"/>
    <x v="0"/>
    <n v="70000"/>
    <n v="0"/>
    <x v="0"/>
    <s v="Professional"/>
    <s v="No"/>
    <n v="1"/>
    <x v="0"/>
    <x v="1"/>
    <x v="0"/>
    <x v="0"/>
    <x v="1"/>
    <m/>
  </r>
  <r>
    <n v="27393"/>
    <x v="0"/>
    <x v="0"/>
    <n v="50000"/>
    <n v="4"/>
    <x v="0"/>
    <s v="Management"/>
    <s v="Yes"/>
    <n v="2"/>
    <x v="4"/>
    <x v="2"/>
    <x v="18"/>
    <x v="1"/>
    <x v="0"/>
    <m/>
  </r>
  <r>
    <n v="14417"/>
    <x v="1"/>
    <x v="1"/>
    <n v="60000"/>
    <n v="3"/>
    <x v="2"/>
    <s v="Professional"/>
    <s v="Yes"/>
    <n v="2"/>
    <x v="4"/>
    <x v="2"/>
    <x v="9"/>
    <x v="0"/>
    <x v="1"/>
    <m/>
  </r>
  <r>
    <n v="17533"/>
    <x v="0"/>
    <x v="1"/>
    <n v="40000"/>
    <n v="3"/>
    <x v="1"/>
    <s v="Professional"/>
    <s v="No"/>
    <n v="2"/>
    <x v="2"/>
    <x v="2"/>
    <x v="49"/>
    <x v="1"/>
    <x v="1"/>
    <m/>
  </r>
  <r>
    <n v="18580"/>
    <x v="0"/>
    <x v="0"/>
    <n v="60000"/>
    <n v="2"/>
    <x v="4"/>
    <s v="Professional"/>
    <s v="Yes"/>
    <n v="0"/>
    <x v="1"/>
    <x v="2"/>
    <x v="8"/>
    <x v="0"/>
    <x v="1"/>
    <m/>
  </r>
  <r>
    <n v="17025"/>
    <x v="1"/>
    <x v="1"/>
    <n v="50000"/>
    <n v="0"/>
    <x v="1"/>
    <s v="Skilled Manual"/>
    <s v="No"/>
    <n v="1"/>
    <x v="1"/>
    <x v="2"/>
    <x v="32"/>
    <x v="0"/>
    <x v="1"/>
    <m/>
  </r>
  <r>
    <n v="25293"/>
    <x v="0"/>
    <x v="1"/>
    <n v="80000"/>
    <n v="4"/>
    <x v="0"/>
    <s v="Management"/>
    <s v="Yes"/>
    <n v="0"/>
    <x v="3"/>
    <x v="2"/>
    <x v="0"/>
    <x v="0"/>
    <x v="0"/>
    <m/>
  </r>
  <r>
    <n v="24725"/>
    <x v="0"/>
    <x v="0"/>
    <n v="40000"/>
    <n v="3"/>
    <x v="1"/>
    <s v="Clerical"/>
    <s v="Yes"/>
    <n v="0"/>
    <x v="3"/>
    <x v="2"/>
    <x v="23"/>
    <x v="0"/>
    <x v="0"/>
    <m/>
  </r>
  <r>
    <n v="23200"/>
    <x v="0"/>
    <x v="0"/>
    <n v="50000"/>
    <n v="3"/>
    <x v="0"/>
    <s v="Skilled Manual"/>
    <s v="Yes"/>
    <n v="2"/>
    <x v="0"/>
    <x v="2"/>
    <x v="3"/>
    <x v="0"/>
    <x v="0"/>
    <m/>
  </r>
  <r>
    <n v="15895"/>
    <x v="1"/>
    <x v="0"/>
    <n v="60000"/>
    <n v="2"/>
    <x v="0"/>
    <s v="Management"/>
    <s v="Yes"/>
    <n v="0"/>
    <x v="4"/>
    <x v="2"/>
    <x v="7"/>
    <x v="1"/>
    <x v="0"/>
    <m/>
  </r>
  <r>
    <n v="18577"/>
    <x v="0"/>
    <x v="0"/>
    <n v="60000"/>
    <n v="0"/>
    <x v="4"/>
    <s v="Professional"/>
    <s v="Yes"/>
    <n v="0"/>
    <x v="0"/>
    <x v="2"/>
    <x v="8"/>
    <x v="0"/>
    <x v="0"/>
    <m/>
  </r>
  <r>
    <n v="27218"/>
    <x v="0"/>
    <x v="0"/>
    <n v="20000"/>
    <n v="2"/>
    <x v="3"/>
    <s v="Clerical"/>
    <s v="No"/>
    <n v="0"/>
    <x v="0"/>
    <x v="2"/>
    <x v="28"/>
    <x v="0"/>
    <x v="0"/>
    <m/>
  </r>
  <r>
    <n v="18560"/>
    <x v="0"/>
    <x v="0"/>
    <n v="70000"/>
    <n v="2"/>
    <x v="4"/>
    <s v="Professional"/>
    <s v="Yes"/>
    <n v="0"/>
    <x v="1"/>
    <x v="2"/>
    <x v="17"/>
    <x v="0"/>
    <x v="1"/>
    <m/>
  </r>
  <r>
    <n v="25006"/>
    <x v="1"/>
    <x v="0"/>
    <n v="30000"/>
    <n v="0"/>
    <x v="1"/>
    <s v="Skilled Manual"/>
    <s v="Yes"/>
    <n v="1"/>
    <x v="2"/>
    <x v="2"/>
    <x v="26"/>
    <x v="2"/>
    <x v="0"/>
    <m/>
  </r>
  <r>
    <n v="17369"/>
    <x v="1"/>
    <x v="1"/>
    <n v="30000"/>
    <n v="0"/>
    <x v="1"/>
    <s v="Skilled Manual"/>
    <s v="Yes"/>
    <n v="1"/>
    <x v="2"/>
    <x v="2"/>
    <x v="40"/>
    <x v="2"/>
    <x v="0"/>
    <m/>
  </r>
  <r>
    <n v="14495"/>
    <x v="0"/>
    <x v="1"/>
    <n v="40000"/>
    <n v="3"/>
    <x v="1"/>
    <s v="Professional"/>
    <s v="No"/>
    <n v="2"/>
    <x v="2"/>
    <x v="2"/>
    <x v="9"/>
    <x v="0"/>
    <x v="1"/>
    <m/>
  </r>
  <r>
    <n v="18847"/>
    <x v="0"/>
    <x v="0"/>
    <n v="60000"/>
    <n v="2"/>
    <x v="4"/>
    <s v="Management"/>
    <s v="Yes"/>
    <n v="2"/>
    <x v="2"/>
    <x v="2"/>
    <x v="43"/>
    <x v="1"/>
    <x v="0"/>
    <m/>
  </r>
  <r>
    <n v="14754"/>
    <x v="0"/>
    <x v="1"/>
    <n v="40000"/>
    <n v="1"/>
    <x v="1"/>
    <s v="Clerical"/>
    <s v="Yes"/>
    <n v="1"/>
    <x v="3"/>
    <x v="2"/>
    <x v="28"/>
    <x v="0"/>
    <x v="1"/>
    <m/>
  </r>
  <r>
    <n v="23378"/>
    <x v="0"/>
    <x v="1"/>
    <n v="70000"/>
    <n v="1"/>
    <x v="1"/>
    <s v="Skilled Manual"/>
    <s v="Yes"/>
    <n v="1"/>
    <x v="1"/>
    <x v="2"/>
    <x v="20"/>
    <x v="0"/>
    <x v="1"/>
    <m/>
  </r>
  <r>
    <n v="26452"/>
    <x v="1"/>
    <x v="1"/>
    <n v="50000"/>
    <n v="3"/>
    <x v="4"/>
    <s v="Management"/>
    <s v="Yes"/>
    <n v="2"/>
    <x v="4"/>
    <x v="2"/>
    <x v="45"/>
    <x v="1"/>
    <x v="0"/>
    <m/>
  </r>
  <r>
    <n v="20370"/>
    <x v="0"/>
    <x v="1"/>
    <n v="70000"/>
    <n v="3"/>
    <x v="3"/>
    <s v="Skilled Manual"/>
    <s v="Yes"/>
    <n v="2"/>
    <x v="2"/>
    <x v="2"/>
    <x v="31"/>
    <x v="0"/>
    <x v="0"/>
    <m/>
  </r>
  <r>
    <n v="20528"/>
    <x v="0"/>
    <x v="1"/>
    <n v="40000"/>
    <n v="2"/>
    <x v="3"/>
    <s v="Skilled Manual"/>
    <s v="Yes"/>
    <n v="2"/>
    <x v="1"/>
    <x v="2"/>
    <x v="10"/>
    <x v="1"/>
    <x v="0"/>
    <m/>
  </r>
  <r>
    <n v="23549"/>
    <x v="1"/>
    <x v="1"/>
    <n v="30000"/>
    <n v="0"/>
    <x v="2"/>
    <s v="Skilled Manual"/>
    <s v="Yes"/>
    <n v="2"/>
    <x v="2"/>
    <x v="2"/>
    <x v="25"/>
    <x v="2"/>
    <x v="0"/>
    <m/>
  </r>
  <r>
    <n v="21751"/>
    <x v="0"/>
    <x v="1"/>
    <n v="60000"/>
    <n v="3"/>
    <x v="4"/>
    <s v="Management"/>
    <s v="Yes"/>
    <n v="2"/>
    <x v="3"/>
    <x v="2"/>
    <x v="18"/>
    <x v="1"/>
    <x v="0"/>
    <m/>
  </r>
  <r>
    <n v="21266"/>
    <x v="1"/>
    <x v="0"/>
    <n v="80000"/>
    <n v="0"/>
    <x v="0"/>
    <s v="Management"/>
    <s v="Yes"/>
    <n v="1"/>
    <x v="3"/>
    <x v="2"/>
    <x v="17"/>
    <x v="0"/>
    <x v="1"/>
    <m/>
  </r>
  <r>
    <n v="13388"/>
    <x v="1"/>
    <x v="1"/>
    <n v="60000"/>
    <n v="2"/>
    <x v="1"/>
    <s v="Professional"/>
    <s v="Yes"/>
    <n v="1"/>
    <x v="4"/>
    <x v="2"/>
    <x v="16"/>
    <x v="1"/>
    <x v="0"/>
    <m/>
  </r>
  <r>
    <n v="18752"/>
    <x v="1"/>
    <x v="0"/>
    <n v="40000"/>
    <n v="0"/>
    <x v="2"/>
    <s v="Skilled Manual"/>
    <s v="Yes"/>
    <n v="1"/>
    <x v="2"/>
    <x v="2"/>
    <x v="23"/>
    <x v="0"/>
    <x v="0"/>
    <m/>
  </r>
  <r>
    <n v="16917"/>
    <x v="0"/>
    <x v="1"/>
    <n v="120000"/>
    <n v="1"/>
    <x v="0"/>
    <s v="Management"/>
    <s v="Yes"/>
    <n v="4"/>
    <x v="0"/>
    <x v="2"/>
    <x v="13"/>
    <x v="0"/>
    <x v="0"/>
    <m/>
  </r>
  <r>
    <n v="15313"/>
    <x v="0"/>
    <x v="1"/>
    <n v="60000"/>
    <n v="4"/>
    <x v="0"/>
    <s v="Management"/>
    <s v="Yes"/>
    <n v="2"/>
    <x v="1"/>
    <x v="2"/>
    <x v="14"/>
    <x v="1"/>
    <x v="0"/>
    <m/>
  </r>
  <r>
    <n v="25329"/>
    <x v="1"/>
    <x v="0"/>
    <n v="40000"/>
    <n v="3"/>
    <x v="1"/>
    <s v="Clerical"/>
    <s v="No"/>
    <n v="2"/>
    <x v="0"/>
    <x v="2"/>
    <x v="21"/>
    <x v="0"/>
    <x v="0"/>
    <m/>
  </r>
  <r>
    <n v="20380"/>
    <x v="0"/>
    <x v="0"/>
    <n v="60000"/>
    <n v="3"/>
    <x v="4"/>
    <s v="Management"/>
    <s v="Yes"/>
    <n v="2"/>
    <x v="4"/>
    <x v="2"/>
    <x v="45"/>
    <x v="1"/>
    <x v="0"/>
    <m/>
  </r>
  <r>
    <n v="23089"/>
    <x v="0"/>
    <x v="1"/>
    <n v="40000"/>
    <n v="0"/>
    <x v="1"/>
    <s v="Skilled Manual"/>
    <s v="Yes"/>
    <n v="1"/>
    <x v="2"/>
    <x v="2"/>
    <x v="26"/>
    <x v="2"/>
    <x v="0"/>
    <m/>
  </r>
  <r>
    <n v="13749"/>
    <x v="0"/>
    <x v="1"/>
    <n v="80000"/>
    <n v="4"/>
    <x v="4"/>
    <s v="Skilled Manual"/>
    <s v="Yes"/>
    <n v="0"/>
    <x v="3"/>
    <x v="2"/>
    <x v="15"/>
    <x v="0"/>
    <x v="0"/>
    <m/>
  </r>
  <r>
    <n v="24943"/>
    <x v="0"/>
    <x v="1"/>
    <n v="60000"/>
    <n v="3"/>
    <x v="0"/>
    <s v="Management"/>
    <s v="Yes"/>
    <n v="2"/>
    <x v="4"/>
    <x v="2"/>
    <x v="29"/>
    <x v="1"/>
    <x v="0"/>
    <m/>
  </r>
  <r>
    <n v="28667"/>
    <x v="1"/>
    <x v="1"/>
    <n v="70000"/>
    <n v="2"/>
    <x v="0"/>
    <s v="Skilled Manual"/>
    <s v="No"/>
    <n v="1"/>
    <x v="0"/>
    <x v="2"/>
    <x v="34"/>
    <x v="0"/>
    <x v="1"/>
    <m/>
  </r>
  <r>
    <n v="15194"/>
    <x v="1"/>
    <x v="1"/>
    <n v="120000"/>
    <n v="2"/>
    <x v="0"/>
    <s v="Management"/>
    <s v="No"/>
    <n v="3"/>
    <x v="0"/>
    <x v="2"/>
    <x v="32"/>
    <x v="0"/>
    <x v="1"/>
    <m/>
  </r>
  <r>
    <n v="17436"/>
    <x v="0"/>
    <x v="1"/>
    <n v="60000"/>
    <n v="2"/>
    <x v="2"/>
    <s v="Professional"/>
    <s v="No"/>
    <n v="2"/>
    <x v="3"/>
    <x v="2"/>
    <x v="36"/>
    <x v="0"/>
    <x v="0"/>
    <m/>
  </r>
  <r>
    <n v="18935"/>
    <x v="0"/>
    <x v="0"/>
    <n v="130000"/>
    <n v="0"/>
    <x v="4"/>
    <s v="Management"/>
    <s v="Yes"/>
    <n v="3"/>
    <x v="3"/>
    <x v="2"/>
    <x v="8"/>
    <x v="0"/>
    <x v="0"/>
    <m/>
  </r>
  <r>
    <n v="16871"/>
    <x v="0"/>
    <x v="0"/>
    <n v="90000"/>
    <n v="2"/>
    <x v="2"/>
    <s v="Professional"/>
    <s v="Yes"/>
    <n v="1"/>
    <x v="4"/>
    <x v="2"/>
    <x v="36"/>
    <x v="0"/>
    <x v="1"/>
    <m/>
  </r>
  <r>
    <n v="12100"/>
    <x v="1"/>
    <x v="1"/>
    <n v="60000"/>
    <n v="2"/>
    <x v="0"/>
    <s v="Management"/>
    <s v="Yes"/>
    <n v="0"/>
    <x v="4"/>
    <x v="2"/>
    <x v="42"/>
    <x v="1"/>
    <x v="0"/>
    <m/>
  </r>
  <r>
    <n v="23158"/>
    <x v="0"/>
    <x v="0"/>
    <n v="60000"/>
    <n v="1"/>
    <x v="4"/>
    <s v="Professional"/>
    <s v="No"/>
    <n v="0"/>
    <x v="0"/>
    <x v="2"/>
    <x v="11"/>
    <x v="0"/>
    <x v="1"/>
    <m/>
  </r>
  <r>
    <n v="18545"/>
    <x v="0"/>
    <x v="1"/>
    <n v="40000"/>
    <n v="4"/>
    <x v="2"/>
    <s v="Professional"/>
    <s v="No"/>
    <n v="2"/>
    <x v="4"/>
    <x v="2"/>
    <x v="33"/>
    <x v="1"/>
    <x v="1"/>
    <m/>
  </r>
  <r>
    <n v="18391"/>
    <x v="1"/>
    <x v="0"/>
    <n v="80000"/>
    <n v="5"/>
    <x v="1"/>
    <s v="Professional"/>
    <s v="Yes"/>
    <n v="2"/>
    <x v="2"/>
    <x v="2"/>
    <x v="20"/>
    <x v="0"/>
    <x v="0"/>
    <m/>
  </r>
  <r>
    <n v="19812"/>
    <x v="1"/>
    <x v="0"/>
    <n v="70000"/>
    <n v="2"/>
    <x v="1"/>
    <s v="Professional"/>
    <s v="Yes"/>
    <n v="0"/>
    <x v="2"/>
    <x v="2"/>
    <x v="38"/>
    <x v="0"/>
    <x v="1"/>
    <m/>
  </r>
  <r>
    <n v="27660"/>
    <x v="0"/>
    <x v="1"/>
    <n v="80000"/>
    <n v="4"/>
    <x v="4"/>
    <s v="Management"/>
    <s v="Yes"/>
    <n v="2"/>
    <x v="2"/>
    <x v="2"/>
    <x v="43"/>
    <x v="1"/>
    <x v="0"/>
    <m/>
  </r>
  <r>
    <n v="18058"/>
    <x v="1"/>
    <x v="0"/>
    <n v="20000"/>
    <n v="3"/>
    <x v="2"/>
    <s v="Skilled Manual"/>
    <s v="Yes"/>
    <n v="2"/>
    <x v="1"/>
    <x v="2"/>
    <x v="44"/>
    <x v="1"/>
    <x v="0"/>
    <m/>
  </r>
  <r>
    <n v="20343"/>
    <x v="0"/>
    <x v="0"/>
    <n v="90000"/>
    <n v="4"/>
    <x v="1"/>
    <s v="Professional"/>
    <s v="Yes"/>
    <n v="1"/>
    <x v="3"/>
    <x v="2"/>
    <x v="12"/>
    <x v="0"/>
    <x v="0"/>
    <m/>
  </r>
  <r>
    <n v="28997"/>
    <x v="1"/>
    <x v="1"/>
    <n v="40000"/>
    <n v="2"/>
    <x v="2"/>
    <s v="Professional"/>
    <s v="No"/>
    <n v="1"/>
    <x v="1"/>
    <x v="2"/>
    <x v="7"/>
    <x v="1"/>
    <x v="1"/>
    <m/>
  </r>
  <r>
    <n v="24398"/>
    <x v="0"/>
    <x v="1"/>
    <n v="130000"/>
    <n v="1"/>
    <x v="4"/>
    <s v="Management"/>
    <s v="Yes"/>
    <n v="4"/>
    <x v="0"/>
    <x v="2"/>
    <x v="3"/>
    <x v="0"/>
    <x v="0"/>
    <m/>
  </r>
  <r>
    <n v="19002"/>
    <x v="0"/>
    <x v="0"/>
    <n v="60000"/>
    <n v="2"/>
    <x v="1"/>
    <s v="Professional"/>
    <s v="Yes"/>
    <n v="1"/>
    <x v="1"/>
    <x v="2"/>
    <x v="42"/>
    <x v="1"/>
    <x v="1"/>
    <m/>
  </r>
  <r>
    <n v="28609"/>
    <x v="0"/>
    <x v="1"/>
    <n v="30000"/>
    <n v="2"/>
    <x v="2"/>
    <s v="Skilled Manual"/>
    <s v="No"/>
    <n v="2"/>
    <x v="0"/>
    <x v="2"/>
    <x v="38"/>
    <x v="0"/>
    <x v="0"/>
    <m/>
  </r>
  <r>
    <n v="29231"/>
    <x v="1"/>
    <x v="1"/>
    <n v="80000"/>
    <n v="4"/>
    <x v="1"/>
    <s v="Professional"/>
    <s v="No"/>
    <n v="2"/>
    <x v="0"/>
    <x v="2"/>
    <x v="1"/>
    <x v="0"/>
    <x v="0"/>
    <m/>
  </r>
  <r>
    <n v="18858"/>
    <x v="1"/>
    <x v="1"/>
    <n v="60000"/>
    <n v="2"/>
    <x v="3"/>
    <s v="Skilled Manual"/>
    <s v="Yes"/>
    <n v="2"/>
    <x v="2"/>
    <x v="2"/>
    <x v="31"/>
    <x v="0"/>
    <x v="1"/>
    <m/>
  </r>
  <r>
    <n v="20000"/>
    <x v="0"/>
    <x v="1"/>
    <n v="60000"/>
    <n v="1"/>
    <x v="4"/>
    <s v="Professional"/>
    <s v="Yes"/>
    <n v="0"/>
    <x v="0"/>
    <x v="2"/>
    <x v="11"/>
    <x v="0"/>
    <x v="1"/>
    <m/>
  </r>
  <r>
    <n v="25261"/>
    <x v="0"/>
    <x v="1"/>
    <n v="40000"/>
    <n v="0"/>
    <x v="2"/>
    <s v="Skilled Manual"/>
    <s v="Yes"/>
    <n v="2"/>
    <x v="2"/>
    <x v="2"/>
    <x v="40"/>
    <x v="2"/>
    <x v="0"/>
    <m/>
  </r>
  <r>
    <n v="17458"/>
    <x v="1"/>
    <x v="1"/>
    <n v="70000"/>
    <n v="3"/>
    <x v="2"/>
    <s v="Professional"/>
    <s v="Yes"/>
    <n v="0"/>
    <x v="2"/>
    <x v="2"/>
    <x v="31"/>
    <x v="0"/>
    <x v="1"/>
    <m/>
  </r>
  <r>
    <n v="11644"/>
    <x v="1"/>
    <x v="1"/>
    <n v="40000"/>
    <n v="2"/>
    <x v="0"/>
    <s v="Skilled Manual"/>
    <s v="Yes"/>
    <n v="0"/>
    <x v="1"/>
    <x v="2"/>
    <x v="4"/>
    <x v="0"/>
    <x v="0"/>
    <m/>
  </r>
  <r>
    <n v="16145"/>
    <x v="1"/>
    <x v="0"/>
    <n v="70000"/>
    <n v="5"/>
    <x v="4"/>
    <s v="Professional"/>
    <s v="Yes"/>
    <n v="3"/>
    <x v="4"/>
    <x v="2"/>
    <x v="30"/>
    <x v="0"/>
    <x v="1"/>
    <m/>
  </r>
  <r>
    <n v="16890"/>
    <x v="0"/>
    <x v="1"/>
    <n v="60000"/>
    <n v="3"/>
    <x v="3"/>
    <s v="Skilled Manual"/>
    <s v="Yes"/>
    <n v="2"/>
    <x v="2"/>
    <x v="2"/>
    <x v="31"/>
    <x v="0"/>
    <x v="1"/>
    <m/>
  </r>
  <r>
    <n v="25983"/>
    <x v="0"/>
    <x v="1"/>
    <n v="70000"/>
    <n v="0"/>
    <x v="0"/>
    <s v="Professional"/>
    <s v="No"/>
    <n v="1"/>
    <x v="0"/>
    <x v="2"/>
    <x v="1"/>
    <x v="0"/>
    <x v="0"/>
    <m/>
  </r>
  <r>
    <n v="14633"/>
    <x v="0"/>
    <x v="1"/>
    <n v="60000"/>
    <n v="1"/>
    <x v="1"/>
    <s v="Skilled Manual"/>
    <s v="Yes"/>
    <n v="1"/>
    <x v="1"/>
    <x v="2"/>
    <x v="20"/>
    <x v="0"/>
    <x v="0"/>
    <m/>
  </r>
  <r>
    <n v="22994"/>
    <x v="0"/>
    <x v="0"/>
    <n v="80000"/>
    <n v="0"/>
    <x v="0"/>
    <s v="Management"/>
    <s v="Yes"/>
    <n v="1"/>
    <x v="3"/>
    <x v="2"/>
    <x v="17"/>
    <x v="0"/>
    <x v="1"/>
    <m/>
  </r>
  <r>
    <n v="22983"/>
    <x v="1"/>
    <x v="0"/>
    <n v="30000"/>
    <n v="0"/>
    <x v="3"/>
    <s v="Clerical"/>
    <s v="Yes"/>
    <n v="2"/>
    <x v="2"/>
    <x v="2"/>
    <x v="40"/>
    <x v="2"/>
    <x v="0"/>
    <m/>
  </r>
  <r>
    <n v="25184"/>
    <x v="1"/>
    <x v="1"/>
    <n v="110000"/>
    <n v="1"/>
    <x v="1"/>
    <s v="Professional"/>
    <s v="Yes"/>
    <n v="4"/>
    <x v="2"/>
    <x v="2"/>
    <x v="12"/>
    <x v="0"/>
    <x v="1"/>
    <m/>
  </r>
  <r>
    <n v="14469"/>
    <x v="0"/>
    <x v="0"/>
    <n v="100000"/>
    <n v="3"/>
    <x v="1"/>
    <s v="Professional"/>
    <s v="Yes"/>
    <n v="4"/>
    <x v="3"/>
    <x v="2"/>
    <x v="12"/>
    <x v="0"/>
    <x v="0"/>
    <m/>
  </r>
  <r>
    <n v="11538"/>
    <x v="1"/>
    <x v="0"/>
    <n v="60000"/>
    <n v="4"/>
    <x v="4"/>
    <s v="Skilled Manual"/>
    <s v="No"/>
    <n v="0"/>
    <x v="0"/>
    <x v="2"/>
    <x v="15"/>
    <x v="0"/>
    <x v="1"/>
    <m/>
  </r>
  <r>
    <n v="16245"/>
    <x v="1"/>
    <x v="0"/>
    <n v="80000"/>
    <n v="4"/>
    <x v="4"/>
    <s v="Skilled Manual"/>
    <s v="Yes"/>
    <n v="0"/>
    <x v="3"/>
    <x v="2"/>
    <x v="15"/>
    <x v="0"/>
    <x v="0"/>
    <m/>
  </r>
  <r>
    <n v="17858"/>
    <x v="0"/>
    <x v="1"/>
    <n v="40000"/>
    <n v="4"/>
    <x v="2"/>
    <s v="Skilled Manual"/>
    <s v="Yes"/>
    <n v="2"/>
    <x v="1"/>
    <x v="2"/>
    <x v="20"/>
    <x v="0"/>
    <x v="1"/>
    <m/>
  </r>
  <r>
    <n v="25347"/>
    <x v="1"/>
    <x v="0"/>
    <n v="20000"/>
    <n v="3"/>
    <x v="3"/>
    <s v="Clerical"/>
    <s v="No"/>
    <n v="2"/>
    <x v="0"/>
    <x v="2"/>
    <x v="38"/>
    <x v="0"/>
    <x v="0"/>
    <m/>
  </r>
  <r>
    <n v="15814"/>
    <x v="1"/>
    <x v="0"/>
    <n v="40000"/>
    <n v="0"/>
    <x v="2"/>
    <s v="Skilled Manual"/>
    <s v="Yes"/>
    <n v="1"/>
    <x v="2"/>
    <x v="2"/>
    <x v="25"/>
    <x v="2"/>
    <x v="0"/>
    <m/>
  </r>
  <r>
    <n v="11259"/>
    <x v="0"/>
    <x v="0"/>
    <n v="100000"/>
    <n v="4"/>
    <x v="1"/>
    <s v="Professional"/>
    <s v="Yes"/>
    <n v="4"/>
    <x v="1"/>
    <x v="2"/>
    <x v="3"/>
    <x v="0"/>
    <x v="1"/>
    <m/>
  </r>
  <r>
    <n v="11200"/>
    <x v="0"/>
    <x v="1"/>
    <n v="70000"/>
    <n v="4"/>
    <x v="0"/>
    <s v="Management"/>
    <s v="Yes"/>
    <n v="1"/>
    <x v="3"/>
    <x v="2"/>
    <x v="7"/>
    <x v="1"/>
    <x v="0"/>
    <m/>
  </r>
  <r>
    <n v="25101"/>
    <x v="0"/>
    <x v="1"/>
    <n v="60000"/>
    <n v="5"/>
    <x v="0"/>
    <s v="Professional"/>
    <s v="Yes"/>
    <n v="1"/>
    <x v="1"/>
    <x v="2"/>
    <x v="15"/>
    <x v="0"/>
    <x v="0"/>
    <m/>
  </r>
  <r>
    <n v="21801"/>
    <x v="0"/>
    <x v="0"/>
    <n v="70000"/>
    <n v="4"/>
    <x v="1"/>
    <s v="Professional"/>
    <s v="Yes"/>
    <n v="1"/>
    <x v="3"/>
    <x v="2"/>
    <x v="10"/>
    <x v="1"/>
    <x v="0"/>
    <m/>
  </r>
  <r>
    <n v="25943"/>
    <x v="1"/>
    <x v="0"/>
    <n v="70000"/>
    <n v="0"/>
    <x v="1"/>
    <s v="Skilled Manual"/>
    <s v="No"/>
    <n v="2"/>
    <x v="0"/>
    <x v="2"/>
    <x v="40"/>
    <x v="2"/>
    <x v="1"/>
    <m/>
  </r>
  <r>
    <n v="22127"/>
    <x v="0"/>
    <x v="1"/>
    <n v="60000"/>
    <n v="3"/>
    <x v="4"/>
    <s v="Management"/>
    <s v="Yes"/>
    <n v="2"/>
    <x v="3"/>
    <x v="2"/>
    <x v="41"/>
    <x v="1"/>
    <x v="0"/>
    <m/>
  </r>
  <r>
    <n v="20414"/>
    <x v="0"/>
    <x v="0"/>
    <n v="60000"/>
    <n v="0"/>
    <x v="1"/>
    <s v="Skilled Manual"/>
    <s v="Yes"/>
    <n v="2"/>
    <x v="2"/>
    <x v="2"/>
    <x v="19"/>
    <x v="2"/>
    <x v="0"/>
    <m/>
  </r>
  <r>
    <n v="23672"/>
    <x v="0"/>
    <x v="0"/>
    <n v="60000"/>
    <n v="3"/>
    <x v="4"/>
    <s v="Management"/>
    <s v="Yes"/>
    <n v="2"/>
    <x v="3"/>
    <x v="2"/>
    <x v="41"/>
    <x v="1"/>
    <x v="0"/>
    <m/>
  </r>
  <r>
    <n v="29255"/>
    <x v="1"/>
    <x v="1"/>
    <n v="80000"/>
    <n v="3"/>
    <x v="1"/>
    <s v="Professional"/>
    <s v="No"/>
    <n v="1"/>
    <x v="3"/>
    <x v="2"/>
    <x v="36"/>
    <x v="0"/>
    <x v="1"/>
    <m/>
  </r>
  <r>
    <n v="28815"/>
    <x v="0"/>
    <x v="0"/>
    <n v="50000"/>
    <n v="1"/>
    <x v="4"/>
    <s v="Skilled Manual"/>
    <s v="Yes"/>
    <n v="0"/>
    <x v="0"/>
    <x v="2"/>
    <x v="11"/>
    <x v="0"/>
    <x v="0"/>
    <m/>
  </r>
  <r>
    <n v="27753"/>
    <x v="0"/>
    <x v="1"/>
    <n v="40000"/>
    <n v="0"/>
    <x v="2"/>
    <s v="Skilled Manual"/>
    <s v="No"/>
    <n v="2"/>
    <x v="3"/>
    <x v="2"/>
    <x v="25"/>
    <x v="2"/>
    <x v="0"/>
    <m/>
  </r>
  <r>
    <n v="27643"/>
    <x v="1"/>
    <x v="1"/>
    <n v="70000"/>
    <n v="5"/>
    <x v="1"/>
    <s v="Professional"/>
    <s v="Yes"/>
    <n v="3"/>
    <x v="1"/>
    <x v="2"/>
    <x v="20"/>
    <x v="0"/>
    <x v="0"/>
    <m/>
  </r>
  <r>
    <n v="13754"/>
    <x v="1"/>
    <x v="0"/>
    <n v="80000"/>
    <n v="4"/>
    <x v="4"/>
    <s v="Skilled Manual"/>
    <s v="Yes"/>
    <n v="0"/>
    <x v="3"/>
    <x v="2"/>
    <x v="28"/>
    <x v="0"/>
    <x v="0"/>
    <m/>
  </r>
  <r>
    <n v="22088"/>
    <x v="0"/>
    <x v="0"/>
    <n v="130000"/>
    <n v="1"/>
    <x v="0"/>
    <s v="Management"/>
    <s v="Yes"/>
    <n v="2"/>
    <x v="0"/>
    <x v="2"/>
    <x v="12"/>
    <x v="0"/>
    <x v="1"/>
    <m/>
  </r>
  <r>
    <n v="27388"/>
    <x v="0"/>
    <x v="1"/>
    <n v="60000"/>
    <n v="3"/>
    <x v="0"/>
    <s v="Management"/>
    <s v="No"/>
    <n v="2"/>
    <x v="3"/>
    <x v="2"/>
    <x v="29"/>
    <x v="1"/>
    <x v="0"/>
    <m/>
  </r>
  <r>
    <n v="24745"/>
    <x v="1"/>
    <x v="0"/>
    <n v="30000"/>
    <n v="2"/>
    <x v="2"/>
    <s v="Skilled Manual"/>
    <s v="No"/>
    <n v="2"/>
    <x v="0"/>
    <x v="2"/>
    <x v="38"/>
    <x v="0"/>
    <x v="0"/>
    <m/>
  </r>
  <r>
    <n v="29237"/>
    <x v="1"/>
    <x v="0"/>
    <n v="120000"/>
    <n v="4"/>
    <x v="1"/>
    <s v="Professional"/>
    <s v="Yes"/>
    <n v="3"/>
    <x v="2"/>
    <x v="2"/>
    <x v="1"/>
    <x v="0"/>
    <x v="1"/>
    <m/>
  </r>
  <r>
    <n v="15272"/>
    <x v="1"/>
    <x v="1"/>
    <n v="40000"/>
    <n v="0"/>
    <x v="2"/>
    <s v="Skilled Manual"/>
    <s v="No"/>
    <n v="2"/>
    <x v="3"/>
    <x v="2"/>
    <x v="25"/>
    <x v="2"/>
    <x v="0"/>
    <m/>
  </r>
  <r>
    <n v="18949"/>
    <x v="1"/>
    <x v="1"/>
    <n v="70000"/>
    <n v="0"/>
    <x v="4"/>
    <s v="Management"/>
    <s v="Yes"/>
    <n v="2"/>
    <x v="2"/>
    <x v="2"/>
    <x v="50"/>
    <x v="1"/>
    <x v="1"/>
    <m/>
  </r>
  <r>
    <n v="14507"/>
    <x v="0"/>
    <x v="1"/>
    <n v="100000"/>
    <n v="2"/>
    <x v="4"/>
    <s v="Management"/>
    <s v="Yes"/>
    <n v="3"/>
    <x v="3"/>
    <x v="2"/>
    <x v="27"/>
    <x v="1"/>
    <x v="0"/>
    <m/>
  </r>
  <r>
    <n v="25886"/>
    <x v="0"/>
    <x v="0"/>
    <n v="60000"/>
    <n v="2"/>
    <x v="1"/>
    <s v="Professional"/>
    <s v="Yes"/>
    <n v="2"/>
    <x v="1"/>
    <x v="2"/>
    <x v="16"/>
    <x v="1"/>
    <x v="1"/>
    <m/>
  </r>
  <r>
    <n v="21441"/>
    <x v="0"/>
    <x v="1"/>
    <n v="50000"/>
    <n v="4"/>
    <x v="0"/>
    <s v="Management"/>
    <s v="Yes"/>
    <n v="2"/>
    <x v="4"/>
    <x v="2"/>
    <x v="46"/>
    <x v="1"/>
    <x v="0"/>
    <m/>
  </r>
  <r>
    <n v="21741"/>
    <x v="0"/>
    <x v="0"/>
    <n v="70000"/>
    <n v="3"/>
    <x v="1"/>
    <s v="Professional"/>
    <s v="Yes"/>
    <n v="2"/>
    <x v="2"/>
    <x v="2"/>
    <x v="5"/>
    <x v="0"/>
    <x v="1"/>
    <m/>
  </r>
  <r>
    <n v="14572"/>
    <x v="0"/>
    <x v="0"/>
    <n v="70000"/>
    <n v="3"/>
    <x v="4"/>
    <s v="Professional"/>
    <s v="Yes"/>
    <n v="0"/>
    <x v="1"/>
    <x v="2"/>
    <x v="11"/>
    <x v="0"/>
    <x v="1"/>
    <m/>
  </r>
  <r>
    <n v="23368"/>
    <x v="0"/>
    <x v="0"/>
    <n v="60000"/>
    <n v="5"/>
    <x v="0"/>
    <s v="Skilled Manual"/>
    <s v="Yes"/>
    <n v="3"/>
    <x v="4"/>
    <x v="2"/>
    <x v="3"/>
    <x v="0"/>
    <x v="0"/>
    <m/>
  </r>
  <r>
    <n v="16217"/>
    <x v="1"/>
    <x v="0"/>
    <n v="60000"/>
    <n v="0"/>
    <x v="4"/>
    <s v="Skilled Manual"/>
    <s v="Yes"/>
    <n v="0"/>
    <x v="0"/>
    <x v="2"/>
    <x v="32"/>
    <x v="0"/>
    <x v="0"/>
    <m/>
  </r>
  <r>
    <n v="16247"/>
    <x v="1"/>
    <x v="0"/>
    <n v="60000"/>
    <n v="4"/>
    <x v="4"/>
    <s v="Skilled Manual"/>
    <s v="No"/>
    <n v="0"/>
    <x v="3"/>
    <x v="2"/>
    <x v="15"/>
    <x v="0"/>
    <x v="0"/>
    <m/>
  </r>
  <r>
    <n v="22010"/>
    <x v="1"/>
    <x v="1"/>
    <n v="40000"/>
    <n v="0"/>
    <x v="2"/>
    <s v="Skilled Manual"/>
    <s v="Yes"/>
    <n v="2"/>
    <x v="2"/>
    <x v="2"/>
    <x v="23"/>
    <x v="0"/>
    <x v="0"/>
    <m/>
  </r>
  <r>
    <n v="25872"/>
    <x v="1"/>
    <x v="0"/>
    <n v="70000"/>
    <n v="2"/>
    <x v="0"/>
    <s v="Management"/>
    <s v="No"/>
    <n v="1"/>
    <x v="1"/>
    <x v="2"/>
    <x v="7"/>
    <x v="1"/>
    <x v="1"/>
    <m/>
  </r>
  <r>
    <n v="19164"/>
    <x v="1"/>
    <x v="0"/>
    <n v="70000"/>
    <n v="0"/>
    <x v="0"/>
    <s v="Professional"/>
    <s v="No"/>
    <n v="1"/>
    <x v="1"/>
    <x v="2"/>
    <x v="13"/>
    <x v="0"/>
    <x v="1"/>
    <m/>
  </r>
  <r>
    <n v="18435"/>
    <x v="1"/>
    <x v="0"/>
    <n v="70000"/>
    <n v="5"/>
    <x v="4"/>
    <s v="Management"/>
    <s v="Yes"/>
    <n v="2"/>
    <x v="4"/>
    <x v="2"/>
    <x v="41"/>
    <x v="1"/>
    <x v="1"/>
    <m/>
  </r>
  <r>
    <n v="14284"/>
    <x v="1"/>
    <x v="1"/>
    <n v="60000"/>
    <n v="0"/>
    <x v="1"/>
    <s v="Professional"/>
    <s v="No"/>
    <n v="2"/>
    <x v="3"/>
    <x v="2"/>
    <x v="21"/>
    <x v="0"/>
    <x v="1"/>
    <m/>
  </r>
  <r>
    <n v="11287"/>
    <x v="0"/>
    <x v="1"/>
    <n v="70000"/>
    <n v="5"/>
    <x v="1"/>
    <s v="Professional"/>
    <s v="No"/>
    <n v="3"/>
    <x v="2"/>
    <x v="2"/>
    <x v="12"/>
    <x v="0"/>
    <x v="0"/>
    <m/>
  </r>
  <r>
    <n v="13066"/>
    <x v="1"/>
    <x v="1"/>
    <n v="30000"/>
    <n v="0"/>
    <x v="2"/>
    <s v="Skilled Manual"/>
    <s v="No"/>
    <n v="2"/>
    <x v="3"/>
    <x v="2"/>
    <x v="23"/>
    <x v="0"/>
    <x v="1"/>
    <m/>
  </r>
  <r>
    <n v="29106"/>
    <x v="1"/>
    <x v="1"/>
    <n v="40000"/>
    <n v="0"/>
    <x v="2"/>
    <s v="Skilled Manual"/>
    <s v="No"/>
    <n v="2"/>
    <x v="3"/>
    <x v="2"/>
    <x v="23"/>
    <x v="0"/>
    <x v="1"/>
    <m/>
  </r>
  <r>
    <n v="26236"/>
    <x v="0"/>
    <x v="0"/>
    <n v="40000"/>
    <n v="3"/>
    <x v="1"/>
    <s v="Clerical"/>
    <s v="Yes"/>
    <n v="1"/>
    <x v="0"/>
    <x v="2"/>
    <x v="23"/>
    <x v="0"/>
    <x v="0"/>
    <m/>
  </r>
  <r>
    <n v="17531"/>
    <x v="0"/>
    <x v="1"/>
    <n v="60000"/>
    <n v="2"/>
    <x v="2"/>
    <s v="Professional"/>
    <s v="No"/>
    <n v="2"/>
    <x v="2"/>
    <x v="2"/>
    <x v="5"/>
    <x v="0"/>
    <x v="0"/>
    <m/>
  </r>
  <r>
    <n v="12964"/>
    <x v="0"/>
    <x v="1"/>
    <n v="70000"/>
    <n v="1"/>
    <x v="1"/>
    <s v="Skilled Manual"/>
    <s v="Yes"/>
    <n v="1"/>
    <x v="0"/>
    <x v="2"/>
    <x v="20"/>
    <x v="0"/>
    <x v="0"/>
    <m/>
  </r>
  <r>
    <n v="19133"/>
    <x v="1"/>
    <x v="1"/>
    <n v="50000"/>
    <n v="2"/>
    <x v="0"/>
    <s v="Skilled Manual"/>
    <s v="Yes"/>
    <n v="1"/>
    <x v="1"/>
    <x v="2"/>
    <x v="13"/>
    <x v="0"/>
    <x v="1"/>
    <m/>
  </r>
  <r>
    <n v="24643"/>
    <x v="1"/>
    <x v="0"/>
    <n v="60000"/>
    <n v="4"/>
    <x v="0"/>
    <s v="Management"/>
    <s v="Yes"/>
    <n v="2"/>
    <x v="4"/>
    <x v="2"/>
    <x v="18"/>
    <x v="1"/>
    <x v="0"/>
    <m/>
  </r>
  <r>
    <n v="21599"/>
    <x v="0"/>
    <x v="0"/>
    <n v="60000"/>
    <n v="1"/>
    <x v="4"/>
    <s v="Professional"/>
    <s v="Yes"/>
    <n v="0"/>
    <x v="1"/>
    <x v="2"/>
    <x v="4"/>
    <x v="0"/>
    <x v="1"/>
    <m/>
  </r>
  <r>
    <n v="22976"/>
    <x v="1"/>
    <x v="1"/>
    <n v="40000"/>
    <n v="0"/>
    <x v="2"/>
    <s v="Skilled Manual"/>
    <s v="No"/>
    <n v="2"/>
    <x v="0"/>
    <x v="2"/>
    <x v="26"/>
    <x v="2"/>
    <x v="1"/>
    <m/>
  </r>
  <r>
    <n v="27637"/>
    <x v="1"/>
    <x v="0"/>
    <n v="100000"/>
    <n v="1"/>
    <x v="1"/>
    <s v="Professional"/>
    <s v="No"/>
    <n v="3"/>
    <x v="3"/>
    <x v="2"/>
    <x v="20"/>
    <x v="0"/>
    <x v="0"/>
    <m/>
  </r>
  <r>
    <n v="11890"/>
    <x v="0"/>
    <x v="0"/>
    <n v="70000"/>
    <n v="5"/>
    <x v="4"/>
    <s v="Professional"/>
    <s v="Yes"/>
    <n v="1"/>
    <x v="0"/>
    <x v="2"/>
    <x v="15"/>
    <x v="0"/>
    <x v="0"/>
    <m/>
  </r>
  <r>
    <n v="28580"/>
    <x v="0"/>
    <x v="0"/>
    <n v="80000"/>
    <n v="0"/>
    <x v="4"/>
    <s v="Skilled Manual"/>
    <s v="Yes"/>
    <n v="0"/>
    <x v="3"/>
    <x v="2"/>
    <x v="8"/>
    <x v="0"/>
    <x v="1"/>
    <m/>
  </r>
  <r>
    <n v="14443"/>
    <x v="0"/>
    <x v="1"/>
    <n v="130000"/>
    <n v="1"/>
    <x v="4"/>
    <s v="Management"/>
    <s v="Yes"/>
    <n v="4"/>
    <x v="0"/>
    <x v="2"/>
    <x v="8"/>
    <x v="0"/>
    <x v="0"/>
    <m/>
  </r>
  <r>
    <n v="17864"/>
    <x v="0"/>
    <x v="0"/>
    <n v="60000"/>
    <n v="1"/>
    <x v="1"/>
    <s v="Skilled Manual"/>
    <s v="Yes"/>
    <n v="1"/>
    <x v="1"/>
    <x v="2"/>
    <x v="30"/>
    <x v="0"/>
    <x v="1"/>
    <m/>
  </r>
  <r>
    <n v="20505"/>
    <x v="0"/>
    <x v="0"/>
    <n v="40000"/>
    <n v="5"/>
    <x v="2"/>
    <s v="Professional"/>
    <s v="No"/>
    <n v="2"/>
    <x v="4"/>
    <x v="2"/>
    <x v="33"/>
    <x v="1"/>
    <x v="0"/>
    <m/>
  </r>
  <r>
    <n v="14592"/>
    <x v="0"/>
    <x v="0"/>
    <n v="60000"/>
    <n v="0"/>
    <x v="4"/>
    <s v="Professional"/>
    <s v="Yes"/>
    <n v="0"/>
    <x v="0"/>
    <x v="2"/>
    <x v="8"/>
    <x v="0"/>
    <x v="0"/>
    <m/>
  </r>
  <r>
    <n v="22227"/>
    <x v="0"/>
    <x v="0"/>
    <n v="60000"/>
    <n v="2"/>
    <x v="2"/>
    <s v="Professional"/>
    <s v="Yes"/>
    <n v="2"/>
    <x v="2"/>
    <x v="2"/>
    <x v="5"/>
    <x v="0"/>
    <x v="0"/>
    <m/>
  </r>
  <r>
    <n v="21471"/>
    <x v="0"/>
    <x v="1"/>
    <n v="70000"/>
    <n v="2"/>
    <x v="1"/>
    <s v="Professional"/>
    <s v="Yes"/>
    <n v="1"/>
    <x v="4"/>
    <x v="2"/>
    <x v="14"/>
    <x v="1"/>
    <x v="0"/>
    <m/>
  </r>
  <r>
    <n v="22252"/>
    <x v="1"/>
    <x v="0"/>
    <n v="60000"/>
    <n v="1"/>
    <x v="4"/>
    <s v="Professional"/>
    <s v="Yes"/>
    <n v="0"/>
    <x v="1"/>
    <x v="2"/>
    <x v="4"/>
    <x v="0"/>
    <x v="1"/>
    <m/>
  </r>
  <r>
    <n v="21260"/>
    <x v="1"/>
    <x v="0"/>
    <n v="40000"/>
    <n v="0"/>
    <x v="2"/>
    <s v="Skilled Manual"/>
    <s v="Yes"/>
    <n v="2"/>
    <x v="2"/>
    <x v="2"/>
    <x v="25"/>
    <x v="2"/>
    <x v="0"/>
    <m/>
  </r>
  <r>
    <n v="11817"/>
    <x v="1"/>
    <x v="0"/>
    <n v="70000"/>
    <n v="4"/>
    <x v="4"/>
    <s v="Professional"/>
    <s v="Yes"/>
    <n v="0"/>
    <x v="1"/>
    <x v="2"/>
    <x v="11"/>
    <x v="0"/>
    <x v="1"/>
    <m/>
  </r>
  <r>
    <n v="19223"/>
    <x v="0"/>
    <x v="0"/>
    <n v="30000"/>
    <n v="2"/>
    <x v="2"/>
    <s v="Skilled Manual"/>
    <s v="Yes"/>
    <n v="2"/>
    <x v="3"/>
    <x v="2"/>
    <x v="28"/>
    <x v="0"/>
    <x v="0"/>
    <m/>
  </r>
  <r>
    <n v="18517"/>
    <x v="0"/>
    <x v="1"/>
    <n v="100000"/>
    <n v="3"/>
    <x v="0"/>
    <s v="Management"/>
    <s v="Yes"/>
    <n v="4"/>
    <x v="0"/>
    <x v="2"/>
    <x v="3"/>
    <x v="0"/>
    <x v="0"/>
    <m/>
  </r>
  <r>
    <n v="21717"/>
    <x v="0"/>
    <x v="1"/>
    <n v="40000"/>
    <n v="2"/>
    <x v="1"/>
    <s v="Clerical"/>
    <s v="Yes"/>
    <n v="1"/>
    <x v="0"/>
    <x v="2"/>
    <x v="15"/>
    <x v="0"/>
    <x v="0"/>
    <m/>
  </r>
  <r>
    <n v="13760"/>
    <x v="0"/>
    <x v="1"/>
    <n v="60000"/>
    <n v="4"/>
    <x v="4"/>
    <s v="Skilled Manual"/>
    <s v="No"/>
    <n v="0"/>
    <x v="0"/>
    <x v="2"/>
    <x v="15"/>
    <x v="0"/>
    <x v="0"/>
    <m/>
  </r>
  <r>
    <n v="18145"/>
    <x v="0"/>
    <x v="1"/>
    <n v="80000"/>
    <n v="5"/>
    <x v="0"/>
    <s v="Management"/>
    <s v="No"/>
    <n v="2"/>
    <x v="1"/>
    <x v="0"/>
    <x v="24"/>
    <x v="1"/>
    <x v="0"/>
    <m/>
  </r>
  <r>
    <n v="21770"/>
    <x v="0"/>
    <x v="1"/>
    <n v="60000"/>
    <n v="4"/>
    <x v="0"/>
    <s v="Management"/>
    <s v="Yes"/>
    <n v="2"/>
    <x v="4"/>
    <x v="2"/>
    <x v="2"/>
    <x v="1"/>
    <x v="0"/>
    <m/>
  </r>
  <r>
    <n v="11165"/>
    <x v="0"/>
    <x v="0"/>
    <n v="60000"/>
    <n v="0"/>
    <x v="1"/>
    <s v="Skilled Manual"/>
    <s v="No"/>
    <n v="1"/>
    <x v="3"/>
    <x v="2"/>
    <x v="6"/>
    <x v="0"/>
    <x v="0"/>
    <m/>
  </r>
  <r>
    <n v="16377"/>
    <x v="1"/>
    <x v="0"/>
    <n v="80000"/>
    <n v="4"/>
    <x v="4"/>
    <s v="Skilled Manual"/>
    <s v="No"/>
    <n v="0"/>
    <x v="0"/>
    <x v="2"/>
    <x v="15"/>
    <x v="0"/>
    <x v="0"/>
    <m/>
  </r>
  <r>
    <n v="26248"/>
    <x v="0"/>
    <x v="1"/>
    <n v="20000"/>
    <n v="3"/>
    <x v="3"/>
    <s v="Clerical"/>
    <s v="No"/>
    <n v="2"/>
    <x v="0"/>
    <x v="2"/>
    <x v="31"/>
    <x v="0"/>
    <x v="0"/>
    <m/>
  </r>
  <r>
    <n v="23461"/>
    <x v="0"/>
    <x v="0"/>
    <n v="90000"/>
    <n v="5"/>
    <x v="1"/>
    <s v="Professional"/>
    <s v="Yes"/>
    <n v="3"/>
    <x v="1"/>
    <x v="2"/>
    <x v="8"/>
    <x v="0"/>
    <x v="0"/>
    <m/>
  </r>
  <r>
    <n v="29133"/>
    <x v="1"/>
    <x v="0"/>
    <n v="60000"/>
    <n v="4"/>
    <x v="0"/>
    <s v="Skilled Manual"/>
    <s v="No"/>
    <n v="2"/>
    <x v="0"/>
    <x v="2"/>
    <x v="0"/>
    <x v="0"/>
    <x v="0"/>
    <m/>
  </r>
  <r>
    <n v="27673"/>
    <x v="1"/>
    <x v="0"/>
    <n v="60000"/>
    <n v="3"/>
    <x v="4"/>
    <s v="Management"/>
    <s v="Yes"/>
    <n v="2"/>
    <x v="2"/>
    <x v="2"/>
    <x v="39"/>
    <x v="0"/>
    <x v="1"/>
    <m/>
  </r>
  <r>
    <n v="12774"/>
    <x v="0"/>
    <x v="0"/>
    <n v="40000"/>
    <n v="1"/>
    <x v="1"/>
    <s v="Clerical"/>
    <s v="Yes"/>
    <n v="1"/>
    <x v="3"/>
    <x v="2"/>
    <x v="36"/>
    <x v="0"/>
    <x v="1"/>
    <m/>
  </r>
  <r>
    <n v="18910"/>
    <x v="1"/>
    <x v="1"/>
    <n v="30000"/>
    <n v="0"/>
    <x v="1"/>
    <s v="Skilled Manual"/>
    <s v="Yes"/>
    <n v="2"/>
    <x v="2"/>
    <x v="2"/>
    <x v="25"/>
    <x v="2"/>
    <x v="0"/>
    <m/>
  </r>
  <r>
    <n v="11699"/>
    <x v="1"/>
    <x v="1"/>
    <n v="60000"/>
    <n v="0"/>
    <x v="0"/>
    <s v="Skilled Manual"/>
    <s v="No"/>
    <n v="2"/>
    <x v="0"/>
    <x v="2"/>
    <x v="25"/>
    <x v="2"/>
    <x v="0"/>
    <m/>
  </r>
  <r>
    <n v="16725"/>
    <x v="0"/>
    <x v="1"/>
    <n v="30000"/>
    <n v="0"/>
    <x v="2"/>
    <s v="Skilled Manual"/>
    <s v="Yes"/>
    <n v="2"/>
    <x v="2"/>
    <x v="2"/>
    <x v="22"/>
    <x v="2"/>
    <x v="0"/>
    <m/>
  </r>
  <r>
    <n v="28269"/>
    <x v="1"/>
    <x v="0"/>
    <n v="130000"/>
    <n v="1"/>
    <x v="0"/>
    <s v="Management"/>
    <s v="No"/>
    <n v="1"/>
    <x v="1"/>
    <x v="2"/>
    <x v="12"/>
    <x v="0"/>
    <x v="0"/>
    <m/>
  </r>
  <r>
    <n v="23144"/>
    <x v="0"/>
    <x v="1"/>
    <n v="50000"/>
    <n v="1"/>
    <x v="0"/>
    <s v="Skilled Manual"/>
    <s v="Yes"/>
    <n v="0"/>
    <x v="0"/>
    <x v="2"/>
    <x v="17"/>
    <x v="0"/>
    <x v="1"/>
    <m/>
  </r>
  <r>
    <n v="23376"/>
    <x v="0"/>
    <x v="1"/>
    <n v="70000"/>
    <n v="1"/>
    <x v="0"/>
    <s v="Professional"/>
    <s v="Yes"/>
    <n v="1"/>
    <x v="1"/>
    <x v="2"/>
    <x v="20"/>
    <x v="0"/>
    <x v="1"/>
    <m/>
  </r>
  <r>
    <n v="25970"/>
    <x v="1"/>
    <x v="0"/>
    <n v="60000"/>
    <n v="4"/>
    <x v="0"/>
    <s v="Skilled Manual"/>
    <s v="No"/>
    <n v="2"/>
    <x v="0"/>
    <x v="2"/>
    <x v="3"/>
    <x v="0"/>
    <x v="1"/>
    <m/>
  </r>
  <r>
    <n v="28068"/>
    <x v="1"/>
    <x v="0"/>
    <n v="80000"/>
    <n v="3"/>
    <x v="4"/>
    <s v="Professional"/>
    <s v="No"/>
    <n v="0"/>
    <x v="0"/>
    <x v="2"/>
    <x v="4"/>
    <x v="0"/>
    <x v="1"/>
    <m/>
  </r>
  <r>
    <n v="18390"/>
    <x v="0"/>
    <x v="1"/>
    <n v="80000"/>
    <n v="5"/>
    <x v="1"/>
    <s v="Professional"/>
    <s v="Yes"/>
    <n v="2"/>
    <x v="0"/>
    <x v="2"/>
    <x v="20"/>
    <x v="0"/>
    <x v="0"/>
    <m/>
  </r>
  <r>
    <n v="29112"/>
    <x v="1"/>
    <x v="1"/>
    <n v="60000"/>
    <n v="0"/>
    <x v="1"/>
    <s v="Professional"/>
    <s v="No"/>
    <n v="2"/>
    <x v="3"/>
    <x v="2"/>
    <x v="25"/>
    <x v="2"/>
    <x v="0"/>
    <m/>
  </r>
  <r>
    <n v="14090"/>
    <x v="0"/>
    <x v="0"/>
    <n v="30000"/>
    <n v="0"/>
    <x v="3"/>
    <s v="Clerical"/>
    <s v="No"/>
    <n v="2"/>
    <x v="0"/>
    <x v="2"/>
    <x v="26"/>
    <x v="2"/>
    <x v="0"/>
    <m/>
  </r>
  <r>
    <n v="27040"/>
    <x v="0"/>
    <x v="1"/>
    <n v="20000"/>
    <n v="2"/>
    <x v="3"/>
    <s v="Clerical"/>
    <s v="Yes"/>
    <n v="2"/>
    <x v="3"/>
    <x v="2"/>
    <x v="38"/>
    <x v="0"/>
    <x v="0"/>
    <m/>
  </r>
  <r>
    <n v="23479"/>
    <x v="1"/>
    <x v="1"/>
    <n v="90000"/>
    <n v="0"/>
    <x v="1"/>
    <s v="Professional"/>
    <s v="No"/>
    <n v="2"/>
    <x v="0"/>
    <x v="2"/>
    <x v="1"/>
    <x v="0"/>
    <x v="1"/>
    <m/>
  </r>
  <r>
    <n v="16795"/>
    <x v="0"/>
    <x v="0"/>
    <n v="70000"/>
    <n v="4"/>
    <x v="0"/>
    <s v="Management"/>
    <s v="Yes"/>
    <n v="1"/>
    <x v="3"/>
    <x v="2"/>
    <x v="14"/>
    <x v="1"/>
    <x v="0"/>
    <m/>
  </r>
  <r>
    <n v="22014"/>
    <x v="1"/>
    <x v="1"/>
    <n v="30000"/>
    <n v="0"/>
    <x v="2"/>
    <s v="Skilled Manual"/>
    <s v="Yes"/>
    <n v="2"/>
    <x v="2"/>
    <x v="2"/>
    <x v="22"/>
    <x v="2"/>
    <x v="0"/>
    <m/>
  </r>
  <r>
    <n v="13314"/>
    <x v="0"/>
    <x v="1"/>
    <n v="120000"/>
    <n v="1"/>
    <x v="2"/>
    <s v="Professional"/>
    <s v="Yes"/>
    <n v="4"/>
    <x v="2"/>
    <x v="2"/>
    <x v="30"/>
    <x v="0"/>
    <x v="1"/>
    <m/>
  </r>
  <r>
    <n v="11619"/>
    <x v="1"/>
    <x v="0"/>
    <n v="50000"/>
    <n v="0"/>
    <x v="4"/>
    <s v="Skilled Manual"/>
    <s v="Yes"/>
    <n v="0"/>
    <x v="3"/>
    <x v="2"/>
    <x v="6"/>
    <x v="0"/>
    <x v="0"/>
    <m/>
  </r>
  <r>
    <n v="29132"/>
    <x v="1"/>
    <x v="0"/>
    <n v="40000"/>
    <n v="0"/>
    <x v="0"/>
    <s v="Professional"/>
    <s v="Yes"/>
    <n v="1"/>
    <x v="1"/>
    <x v="2"/>
    <x v="0"/>
    <x v="0"/>
    <x v="1"/>
    <m/>
  </r>
  <r>
    <n v="11199"/>
    <x v="0"/>
    <x v="0"/>
    <n v="70000"/>
    <n v="4"/>
    <x v="0"/>
    <s v="Management"/>
    <s v="Yes"/>
    <n v="1"/>
    <x v="4"/>
    <x v="2"/>
    <x v="14"/>
    <x v="1"/>
    <x v="0"/>
    <m/>
  </r>
  <r>
    <n v="20296"/>
    <x v="1"/>
    <x v="0"/>
    <n v="60000"/>
    <n v="0"/>
    <x v="1"/>
    <s v="Skilled Manual"/>
    <s v="No"/>
    <n v="1"/>
    <x v="3"/>
    <x v="2"/>
    <x v="6"/>
    <x v="0"/>
    <x v="1"/>
    <m/>
  </r>
  <r>
    <n v="17546"/>
    <x v="0"/>
    <x v="0"/>
    <n v="70000"/>
    <n v="1"/>
    <x v="1"/>
    <s v="Skilled Manual"/>
    <s v="Yes"/>
    <n v="1"/>
    <x v="0"/>
    <x v="2"/>
    <x v="20"/>
    <x v="0"/>
    <x v="1"/>
    <m/>
  </r>
  <r>
    <n v="18069"/>
    <x v="0"/>
    <x v="1"/>
    <n v="70000"/>
    <n v="5"/>
    <x v="0"/>
    <s v="Management"/>
    <s v="Yes"/>
    <n v="4"/>
    <x v="4"/>
    <x v="2"/>
    <x v="2"/>
    <x v="1"/>
    <x v="0"/>
    <m/>
  </r>
  <r>
    <n v="23712"/>
    <x v="1"/>
    <x v="0"/>
    <n v="70000"/>
    <n v="2"/>
    <x v="0"/>
    <s v="Management"/>
    <s v="Yes"/>
    <n v="1"/>
    <x v="4"/>
    <x v="2"/>
    <x v="14"/>
    <x v="1"/>
    <x v="0"/>
    <m/>
  </r>
  <r>
    <n v="23358"/>
    <x v="0"/>
    <x v="1"/>
    <n v="60000"/>
    <n v="0"/>
    <x v="2"/>
    <s v="Professional"/>
    <s v="Yes"/>
    <n v="2"/>
    <x v="2"/>
    <x v="2"/>
    <x v="21"/>
    <x v="0"/>
    <x v="1"/>
    <m/>
  </r>
  <r>
    <n v="20518"/>
    <x v="0"/>
    <x v="0"/>
    <n v="70000"/>
    <n v="2"/>
    <x v="1"/>
    <s v="Professional"/>
    <s v="Yes"/>
    <n v="1"/>
    <x v="4"/>
    <x v="2"/>
    <x v="7"/>
    <x v="1"/>
    <x v="0"/>
    <m/>
  </r>
  <r>
    <n v="28026"/>
    <x v="0"/>
    <x v="0"/>
    <n v="40000"/>
    <n v="2"/>
    <x v="2"/>
    <s v="Professional"/>
    <s v="No"/>
    <n v="2"/>
    <x v="1"/>
    <x v="2"/>
    <x v="14"/>
    <x v="1"/>
    <x v="0"/>
    <m/>
  </r>
  <r>
    <n v="11669"/>
    <x v="1"/>
    <x v="0"/>
    <n v="70000"/>
    <n v="2"/>
    <x v="0"/>
    <s v="Skilled Manual"/>
    <s v="Yes"/>
    <n v="1"/>
    <x v="1"/>
    <x v="2"/>
    <x v="13"/>
    <x v="0"/>
    <x v="0"/>
    <m/>
  </r>
  <r>
    <n v="16020"/>
    <x v="0"/>
    <x v="1"/>
    <n v="40000"/>
    <n v="0"/>
    <x v="2"/>
    <s v="Skilled Manual"/>
    <s v="Yes"/>
    <n v="2"/>
    <x v="2"/>
    <x v="2"/>
    <x v="26"/>
    <x v="2"/>
    <x v="1"/>
    <m/>
  </r>
  <r>
    <n v="27090"/>
    <x v="0"/>
    <x v="0"/>
    <n v="60000"/>
    <n v="1"/>
    <x v="4"/>
    <s v="Professional"/>
    <s v="Yes"/>
    <n v="0"/>
    <x v="1"/>
    <x v="2"/>
    <x v="34"/>
    <x v="0"/>
    <x v="1"/>
    <m/>
  </r>
  <r>
    <n v="27198"/>
    <x v="1"/>
    <x v="0"/>
    <n v="80000"/>
    <n v="0"/>
    <x v="4"/>
    <s v="Skilled Manual"/>
    <s v="No"/>
    <n v="0"/>
    <x v="0"/>
    <x v="2"/>
    <x v="8"/>
    <x v="0"/>
    <x v="0"/>
    <m/>
  </r>
  <r>
    <n v="19661"/>
    <x v="1"/>
    <x v="1"/>
    <n v="90000"/>
    <n v="4"/>
    <x v="0"/>
    <s v="Management"/>
    <s v="Yes"/>
    <n v="1"/>
    <x v="3"/>
    <x v="2"/>
    <x v="13"/>
    <x v="0"/>
    <x v="1"/>
    <m/>
  </r>
  <r>
    <n v="26327"/>
    <x v="0"/>
    <x v="1"/>
    <n v="70000"/>
    <n v="4"/>
    <x v="4"/>
    <s v="Professional"/>
    <s v="Yes"/>
    <n v="0"/>
    <x v="1"/>
    <x v="2"/>
    <x v="4"/>
    <x v="0"/>
    <x v="1"/>
    <m/>
  </r>
  <r>
    <n v="26341"/>
    <x v="0"/>
    <x v="0"/>
    <n v="70000"/>
    <n v="5"/>
    <x v="4"/>
    <s v="Professional"/>
    <s v="Yes"/>
    <n v="2"/>
    <x v="0"/>
    <x v="2"/>
    <x v="34"/>
    <x v="0"/>
    <x v="0"/>
    <m/>
  </r>
  <r>
    <n v="24958"/>
    <x v="1"/>
    <x v="0"/>
    <n v="40000"/>
    <n v="5"/>
    <x v="2"/>
    <s v="Professional"/>
    <s v="No"/>
    <n v="3"/>
    <x v="1"/>
    <x v="2"/>
    <x v="2"/>
    <x v="1"/>
    <x v="1"/>
    <m/>
  </r>
  <r>
    <n v="13287"/>
    <x v="1"/>
    <x v="1"/>
    <n v="110000"/>
    <n v="4"/>
    <x v="0"/>
    <s v="Management"/>
    <s v="Yes"/>
    <n v="4"/>
    <x v="2"/>
    <x v="2"/>
    <x v="0"/>
    <x v="0"/>
    <x v="1"/>
    <m/>
  </r>
  <r>
    <n v="14493"/>
    <x v="1"/>
    <x v="0"/>
    <n v="70000"/>
    <n v="3"/>
    <x v="4"/>
    <s v="Management"/>
    <s v="No"/>
    <n v="2"/>
    <x v="3"/>
    <x v="2"/>
    <x v="39"/>
    <x v="0"/>
    <x v="0"/>
    <m/>
  </r>
  <r>
    <n v="26678"/>
    <x v="1"/>
    <x v="0"/>
    <n v="80000"/>
    <n v="2"/>
    <x v="3"/>
    <s v="Skilled Manual"/>
    <s v="Yes"/>
    <n v="2"/>
    <x v="2"/>
    <x v="2"/>
    <x v="38"/>
    <x v="0"/>
    <x v="0"/>
    <m/>
  </r>
  <r>
    <n v="23275"/>
    <x v="0"/>
    <x v="1"/>
    <n v="30000"/>
    <n v="2"/>
    <x v="2"/>
    <s v="Skilled Manual"/>
    <s v="Yes"/>
    <n v="2"/>
    <x v="3"/>
    <x v="2"/>
    <x v="38"/>
    <x v="0"/>
    <x v="0"/>
    <m/>
  </r>
  <r>
    <n v="11270"/>
    <x v="0"/>
    <x v="1"/>
    <n v="130000"/>
    <n v="2"/>
    <x v="4"/>
    <s v="Management"/>
    <s v="Yes"/>
    <n v="3"/>
    <x v="0"/>
    <x v="2"/>
    <x v="0"/>
    <x v="0"/>
    <x v="1"/>
    <m/>
  </r>
  <r>
    <n v="20084"/>
    <x v="0"/>
    <x v="1"/>
    <n v="20000"/>
    <n v="2"/>
    <x v="2"/>
    <s v="Manual"/>
    <s v="No"/>
    <n v="2"/>
    <x v="0"/>
    <x v="2"/>
    <x v="39"/>
    <x v="0"/>
    <x v="0"/>
    <m/>
  </r>
  <r>
    <n v="16144"/>
    <x v="0"/>
    <x v="1"/>
    <n v="70000"/>
    <n v="1"/>
    <x v="4"/>
    <s v="Professional"/>
    <s v="Yes"/>
    <n v="1"/>
    <x v="0"/>
    <x v="2"/>
    <x v="30"/>
    <x v="0"/>
    <x v="1"/>
    <m/>
  </r>
  <r>
    <n v="27731"/>
    <x v="0"/>
    <x v="1"/>
    <n v="40000"/>
    <n v="0"/>
    <x v="2"/>
    <s v="Skilled Manual"/>
    <s v="Yes"/>
    <n v="2"/>
    <x v="2"/>
    <x v="2"/>
    <x v="40"/>
    <x v="2"/>
    <x v="0"/>
    <m/>
  </r>
  <r>
    <n v="11886"/>
    <x v="0"/>
    <x v="0"/>
    <n v="60000"/>
    <n v="3"/>
    <x v="0"/>
    <s v="Professional"/>
    <s v="Yes"/>
    <n v="1"/>
    <x v="0"/>
    <x v="2"/>
    <x v="28"/>
    <x v="0"/>
    <x v="1"/>
    <m/>
  </r>
  <r>
    <n v="24324"/>
    <x v="1"/>
    <x v="0"/>
    <n v="60000"/>
    <n v="4"/>
    <x v="0"/>
    <s v="Skilled Manual"/>
    <s v="Yes"/>
    <n v="2"/>
    <x v="1"/>
    <x v="2"/>
    <x v="3"/>
    <x v="0"/>
    <x v="1"/>
    <m/>
  </r>
  <r>
    <n v="22220"/>
    <x v="0"/>
    <x v="1"/>
    <n v="60000"/>
    <n v="2"/>
    <x v="2"/>
    <s v="Professional"/>
    <s v="No"/>
    <n v="2"/>
    <x v="3"/>
    <x v="2"/>
    <x v="38"/>
    <x v="0"/>
    <x v="1"/>
    <m/>
  </r>
  <r>
    <n v="26625"/>
    <x v="1"/>
    <x v="0"/>
    <n v="60000"/>
    <n v="0"/>
    <x v="4"/>
    <s v="Professional"/>
    <s v="Yes"/>
    <n v="1"/>
    <x v="1"/>
    <x v="2"/>
    <x v="13"/>
    <x v="0"/>
    <x v="1"/>
    <m/>
  </r>
  <r>
    <n v="23027"/>
    <x v="1"/>
    <x v="1"/>
    <n v="130000"/>
    <n v="1"/>
    <x v="0"/>
    <s v="Management"/>
    <s v="No"/>
    <n v="4"/>
    <x v="0"/>
    <x v="2"/>
    <x v="20"/>
    <x v="0"/>
    <x v="0"/>
    <m/>
  </r>
  <r>
    <n v="16867"/>
    <x v="1"/>
    <x v="0"/>
    <n v="130000"/>
    <n v="1"/>
    <x v="0"/>
    <s v="Management"/>
    <s v="No"/>
    <n v="3"/>
    <x v="0"/>
    <x v="2"/>
    <x v="12"/>
    <x v="0"/>
    <x v="1"/>
    <m/>
  </r>
  <r>
    <n v="14514"/>
    <x v="1"/>
    <x v="0"/>
    <n v="30000"/>
    <n v="0"/>
    <x v="1"/>
    <s v="Skilled Manual"/>
    <s v="Yes"/>
    <n v="1"/>
    <x v="2"/>
    <x v="2"/>
    <x v="22"/>
    <x v="2"/>
    <x v="0"/>
    <m/>
  </r>
  <r>
    <n v="19634"/>
    <x v="0"/>
    <x v="1"/>
    <n v="40000"/>
    <n v="0"/>
    <x v="2"/>
    <s v="Skilled Manual"/>
    <s v="Yes"/>
    <n v="1"/>
    <x v="2"/>
    <x v="2"/>
    <x v="23"/>
    <x v="0"/>
    <x v="0"/>
    <m/>
  </r>
  <r>
    <n v="18504"/>
    <x v="0"/>
    <x v="1"/>
    <n v="70000"/>
    <n v="2"/>
    <x v="3"/>
    <s v="Skilled Manual"/>
    <s v="No"/>
    <n v="2"/>
    <x v="3"/>
    <x v="2"/>
    <x v="38"/>
    <x v="0"/>
    <x v="0"/>
    <m/>
  </r>
  <r>
    <n v="28799"/>
    <x v="1"/>
    <x v="0"/>
    <n v="40000"/>
    <n v="2"/>
    <x v="1"/>
    <s v="Clerical"/>
    <s v="No"/>
    <n v="1"/>
    <x v="3"/>
    <x v="2"/>
    <x v="15"/>
    <x v="0"/>
    <x v="1"/>
    <m/>
  </r>
  <r>
    <n v="11225"/>
    <x v="0"/>
    <x v="0"/>
    <n v="60000"/>
    <n v="2"/>
    <x v="1"/>
    <s v="Professional"/>
    <s v="Yes"/>
    <n v="1"/>
    <x v="4"/>
    <x v="2"/>
    <x v="10"/>
    <x v="1"/>
    <x v="0"/>
    <m/>
  </r>
  <r>
    <n v="17657"/>
    <x v="0"/>
    <x v="1"/>
    <n v="40000"/>
    <n v="4"/>
    <x v="1"/>
    <s v="Clerical"/>
    <s v="No"/>
    <n v="0"/>
    <x v="0"/>
    <x v="2"/>
    <x v="25"/>
    <x v="2"/>
    <x v="0"/>
    <m/>
  </r>
  <r>
    <n v="14913"/>
    <x v="0"/>
    <x v="0"/>
    <n v="40000"/>
    <n v="1"/>
    <x v="1"/>
    <s v="Clerical"/>
    <s v="Yes"/>
    <n v="1"/>
    <x v="3"/>
    <x v="2"/>
    <x v="28"/>
    <x v="0"/>
    <x v="1"/>
    <m/>
  </r>
  <r>
    <n v="14077"/>
    <x v="1"/>
    <x v="1"/>
    <n v="30000"/>
    <n v="0"/>
    <x v="2"/>
    <s v="Skilled Manual"/>
    <s v="Yes"/>
    <n v="2"/>
    <x v="2"/>
    <x v="2"/>
    <x v="25"/>
    <x v="2"/>
    <x v="0"/>
    <m/>
  </r>
  <r>
    <n v="13296"/>
    <x v="0"/>
    <x v="1"/>
    <n v="110000"/>
    <n v="1"/>
    <x v="0"/>
    <s v="Management"/>
    <s v="Yes"/>
    <n v="3"/>
    <x v="2"/>
    <x v="2"/>
    <x v="12"/>
    <x v="0"/>
    <x v="0"/>
    <m/>
  </r>
  <r>
    <n v="20535"/>
    <x v="0"/>
    <x v="0"/>
    <n v="70000"/>
    <n v="4"/>
    <x v="1"/>
    <s v="Professional"/>
    <s v="Yes"/>
    <n v="1"/>
    <x v="4"/>
    <x v="2"/>
    <x v="16"/>
    <x v="1"/>
    <x v="0"/>
    <m/>
  </r>
  <r>
    <n v="12452"/>
    <x v="0"/>
    <x v="1"/>
    <n v="60000"/>
    <n v="4"/>
    <x v="4"/>
    <s v="Skilled Manual"/>
    <s v="Yes"/>
    <n v="0"/>
    <x v="3"/>
    <x v="2"/>
    <x v="15"/>
    <x v="0"/>
    <x v="1"/>
    <m/>
  </r>
  <r>
    <n v="28043"/>
    <x v="0"/>
    <x v="0"/>
    <n v="60000"/>
    <n v="2"/>
    <x v="0"/>
    <s v="Management"/>
    <s v="Yes"/>
    <n v="0"/>
    <x v="4"/>
    <x v="2"/>
    <x v="16"/>
    <x v="1"/>
    <x v="0"/>
    <m/>
  </r>
  <r>
    <n v="12957"/>
    <x v="1"/>
    <x v="0"/>
    <n v="70000"/>
    <n v="1"/>
    <x v="0"/>
    <s v="Professional"/>
    <s v="No"/>
    <n v="1"/>
    <x v="0"/>
    <x v="2"/>
    <x v="20"/>
    <x v="0"/>
    <x v="0"/>
    <m/>
  </r>
  <r>
    <n v="15412"/>
    <x v="0"/>
    <x v="1"/>
    <n v="130000"/>
    <n v="2"/>
    <x v="4"/>
    <s v="Management"/>
    <s v="Yes"/>
    <n v="3"/>
    <x v="1"/>
    <x v="2"/>
    <x v="45"/>
    <x v="1"/>
    <x v="0"/>
    <m/>
  </r>
  <r>
    <n v="20514"/>
    <x v="0"/>
    <x v="0"/>
    <n v="70000"/>
    <n v="2"/>
    <x v="1"/>
    <s v="Professional"/>
    <s v="Yes"/>
    <n v="1"/>
    <x v="1"/>
    <x v="2"/>
    <x v="14"/>
    <x v="1"/>
    <x v="0"/>
    <m/>
  </r>
  <r>
    <n v="20758"/>
    <x v="0"/>
    <x v="1"/>
    <n v="30000"/>
    <n v="2"/>
    <x v="2"/>
    <s v="Skilled Manual"/>
    <s v="Yes"/>
    <n v="2"/>
    <x v="3"/>
    <x v="2"/>
    <x v="5"/>
    <x v="0"/>
    <x v="0"/>
    <m/>
  </r>
  <r>
    <n v="11801"/>
    <x v="0"/>
    <x v="1"/>
    <n v="60000"/>
    <n v="1"/>
    <x v="4"/>
    <s v="Professional"/>
    <s v="Yes"/>
    <n v="0"/>
    <x v="1"/>
    <x v="2"/>
    <x v="4"/>
    <x v="0"/>
    <x v="0"/>
    <m/>
  </r>
  <r>
    <n v="22211"/>
    <x v="0"/>
    <x v="1"/>
    <n v="60000"/>
    <n v="0"/>
    <x v="1"/>
    <s v="Professional"/>
    <s v="Yes"/>
    <n v="2"/>
    <x v="2"/>
    <x v="2"/>
    <x v="21"/>
    <x v="0"/>
    <x v="0"/>
    <m/>
  </r>
  <r>
    <n v="28087"/>
    <x v="1"/>
    <x v="0"/>
    <n v="40000"/>
    <n v="0"/>
    <x v="1"/>
    <s v="Skilled Manual"/>
    <s v="No"/>
    <n v="1"/>
    <x v="3"/>
    <x v="2"/>
    <x v="40"/>
    <x v="2"/>
    <x v="0"/>
    <m/>
  </r>
  <r>
    <n v="23668"/>
    <x v="0"/>
    <x v="0"/>
    <n v="40000"/>
    <n v="4"/>
    <x v="2"/>
    <s v="Professional"/>
    <s v="Yes"/>
    <n v="2"/>
    <x v="2"/>
    <x v="2"/>
    <x v="14"/>
    <x v="1"/>
    <x v="1"/>
    <m/>
  </r>
  <r>
    <n v="27441"/>
    <x v="0"/>
    <x v="1"/>
    <n v="60000"/>
    <n v="3"/>
    <x v="2"/>
    <s v="Professional"/>
    <s v="No"/>
    <n v="2"/>
    <x v="1"/>
    <x v="2"/>
    <x v="39"/>
    <x v="0"/>
    <x v="0"/>
    <m/>
  </r>
  <r>
    <n v="27261"/>
    <x v="0"/>
    <x v="1"/>
    <n v="40000"/>
    <n v="1"/>
    <x v="0"/>
    <s v="Skilled Manual"/>
    <s v="No"/>
    <n v="1"/>
    <x v="0"/>
    <x v="2"/>
    <x v="4"/>
    <x v="0"/>
    <x v="1"/>
    <m/>
  </r>
  <r>
    <n v="18649"/>
    <x v="1"/>
    <x v="1"/>
    <n v="30000"/>
    <n v="1"/>
    <x v="2"/>
    <s v="Clerical"/>
    <s v="Yes"/>
    <n v="2"/>
    <x v="3"/>
    <x v="2"/>
    <x v="36"/>
    <x v="0"/>
    <x v="1"/>
    <m/>
  </r>
  <r>
    <n v="21714"/>
    <x v="1"/>
    <x v="0"/>
    <n v="80000"/>
    <n v="5"/>
    <x v="4"/>
    <s v="Skilled Manual"/>
    <s v="No"/>
    <n v="0"/>
    <x v="0"/>
    <x v="2"/>
    <x v="15"/>
    <x v="0"/>
    <x v="0"/>
    <m/>
  </r>
  <r>
    <n v="23217"/>
    <x v="1"/>
    <x v="0"/>
    <n v="60000"/>
    <n v="3"/>
    <x v="4"/>
    <s v="Professional"/>
    <s v="Yes"/>
    <n v="0"/>
    <x v="1"/>
    <x v="2"/>
    <x v="1"/>
    <x v="0"/>
    <x v="1"/>
    <m/>
  </r>
  <r>
    <n v="23797"/>
    <x v="1"/>
    <x v="1"/>
    <n v="20000"/>
    <n v="3"/>
    <x v="3"/>
    <s v="Clerical"/>
    <s v="No"/>
    <n v="2"/>
    <x v="0"/>
    <x v="2"/>
    <x v="5"/>
    <x v="0"/>
    <x v="0"/>
    <m/>
  </r>
  <r>
    <n v="13216"/>
    <x v="0"/>
    <x v="0"/>
    <n v="60000"/>
    <n v="5"/>
    <x v="0"/>
    <s v="Management"/>
    <s v="Yes"/>
    <n v="3"/>
    <x v="4"/>
    <x v="2"/>
    <x v="14"/>
    <x v="1"/>
    <x v="0"/>
    <m/>
  </r>
  <r>
    <n v="20657"/>
    <x v="1"/>
    <x v="1"/>
    <n v="50000"/>
    <n v="2"/>
    <x v="0"/>
    <s v="Skilled Manual"/>
    <s v="Yes"/>
    <n v="0"/>
    <x v="1"/>
    <x v="2"/>
    <x v="34"/>
    <x v="0"/>
    <x v="1"/>
    <m/>
  </r>
  <r>
    <n v="12882"/>
    <x v="0"/>
    <x v="1"/>
    <n v="50000"/>
    <n v="1"/>
    <x v="4"/>
    <s v="Skilled Manual"/>
    <s v="Yes"/>
    <n v="0"/>
    <x v="0"/>
    <x v="2"/>
    <x v="6"/>
    <x v="0"/>
    <x v="1"/>
    <m/>
  </r>
  <r>
    <n v="25908"/>
    <x v="0"/>
    <x v="0"/>
    <n v="60000"/>
    <n v="0"/>
    <x v="1"/>
    <s v="Skilled Manual"/>
    <s v="No"/>
    <n v="1"/>
    <x v="3"/>
    <x v="2"/>
    <x v="40"/>
    <x v="2"/>
    <x v="0"/>
    <m/>
  </r>
  <r>
    <n v="16753"/>
    <x v="1"/>
    <x v="0"/>
    <n v="70000"/>
    <n v="0"/>
    <x v="1"/>
    <s v="Skilled Manual"/>
    <s v="Yes"/>
    <n v="2"/>
    <x v="2"/>
    <x v="2"/>
    <x v="17"/>
    <x v="0"/>
    <x v="1"/>
    <m/>
  </r>
  <r>
    <n v="14608"/>
    <x v="0"/>
    <x v="1"/>
    <n v="50000"/>
    <n v="4"/>
    <x v="0"/>
    <s v="Skilled Manual"/>
    <s v="Yes"/>
    <n v="3"/>
    <x v="4"/>
    <x v="2"/>
    <x v="0"/>
    <x v="0"/>
    <x v="0"/>
    <m/>
  </r>
  <r>
    <n v="24979"/>
    <x v="0"/>
    <x v="0"/>
    <n v="60000"/>
    <n v="2"/>
    <x v="1"/>
    <s v="Professional"/>
    <s v="Yes"/>
    <n v="2"/>
    <x v="1"/>
    <x v="2"/>
    <x v="42"/>
    <x v="1"/>
    <x v="1"/>
    <m/>
  </r>
  <r>
    <n v="13313"/>
    <x v="0"/>
    <x v="0"/>
    <n v="120000"/>
    <n v="1"/>
    <x v="2"/>
    <s v="Professional"/>
    <s v="No"/>
    <n v="4"/>
    <x v="1"/>
    <x v="2"/>
    <x v="12"/>
    <x v="0"/>
    <x v="0"/>
    <m/>
  </r>
  <r>
    <n v="18952"/>
    <x v="0"/>
    <x v="0"/>
    <n v="100000"/>
    <n v="4"/>
    <x v="0"/>
    <s v="Management"/>
    <s v="Yes"/>
    <n v="4"/>
    <x v="0"/>
    <x v="2"/>
    <x v="8"/>
    <x v="0"/>
    <x v="0"/>
    <m/>
  </r>
  <r>
    <n v="17699"/>
    <x v="0"/>
    <x v="1"/>
    <n v="60000"/>
    <n v="1"/>
    <x v="4"/>
    <s v="Skilled Manual"/>
    <s v="No"/>
    <n v="0"/>
    <x v="0"/>
    <x v="2"/>
    <x v="10"/>
    <x v="1"/>
    <x v="0"/>
    <m/>
  </r>
  <r>
    <n v="14657"/>
    <x v="0"/>
    <x v="1"/>
    <n v="80000"/>
    <n v="1"/>
    <x v="1"/>
    <s v="Skilled Manual"/>
    <s v="No"/>
    <n v="1"/>
    <x v="0"/>
    <x v="2"/>
    <x v="15"/>
    <x v="0"/>
    <x v="1"/>
    <m/>
  </r>
  <r>
    <n v="11540"/>
    <x v="1"/>
    <x v="1"/>
    <n v="60000"/>
    <n v="4"/>
    <x v="4"/>
    <s v="Skilled Manual"/>
    <s v="Yes"/>
    <n v="0"/>
    <x v="3"/>
    <x v="2"/>
    <x v="15"/>
    <x v="0"/>
    <x v="1"/>
    <m/>
  </r>
  <r>
    <n v="11783"/>
    <x v="0"/>
    <x v="0"/>
    <n v="60000"/>
    <n v="1"/>
    <x v="4"/>
    <s v="Skilled Manual"/>
    <s v="Yes"/>
    <n v="0"/>
    <x v="0"/>
    <x v="2"/>
    <x v="17"/>
    <x v="0"/>
    <x v="0"/>
    <m/>
  </r>
  <r>
    <n v="14602"/>
    <x v="0"/>
    <x v="0"/>
    <n v="80000"/>
    <n v="3"/>
    <x v="4"/>
    <s v="Professional"/>
    <s v="Yes"/>
    <n v="0"/>
    <x v="0"/>
    <x v="2"/>
    <x v="4"/>
    <x v="0"/>
    <x v="1"/>
    <m/>
  </r>
  <r>
    <n v="29030"/>
    <x v="0"/>
    <x v="1"/>
    <n v="70000"/>
    <n v="2"/>
    <x v="3"/>
    <s v="Skilled Manual"/>
    <s v="Yes"/>
    <n v="2"/>
    <x v="4"/>
    <x v="2"/>
    <x v="9"/>
    <x v="0"/>
    <x v="0"/>
    <m/>
  </r>
  <r>
    <n v="26490"/>
    <x v="1"/>
    <x v="1"/>
    <n v="70000"/>
    <n v="2"/>
    <x v="0"/>
    <s v="Management"/>
    <s v="No"/>
    <n v="1"/>
    <x v="1"/>
    <x v="2"/>
    <x v="14"/>
    <x v="1"/>
    <x v="1"/>
    <m/>
  </r>
  <r>
    <n v="13151"/>
    <x v="1"/>
    <x v="1"/>
    <n v="40000"/>
    <n v="0"/>
    <x v="2"/>
    <s v="Skilled Manual"/>
    <s v="Yes"/>
    <n v="2"/>
    <x v="2"/>
    <x v="2"/>
    <x v="40"/>
    <x v="2"/>
    <x v="0"/>
    <m/>
  </r>
  <r>
    <n v="17260"/>
    <x v="0"/>
    <x v="1"/>
    <n v="90000"/>
    <n v="5"/>
    <x v="1"/>
    <s v="Professional"/>
    <s v="Yes"/>
    <n v="3"/>
    <x v="0"/>
    <x v="2"/>
    <x v="3"/>
    <x v="0"/>
    <x v="0"/>
    <m/>
  </r>
  <r>
    <n v="15372"/>
    <x v="0"/>
    <x v="1"/>
    <n v="80000"/>
    <n v="3"/>
    <x v="1"/>
    <s v="Professional"/>
    <s v="No"/>
    <n v="2"/>
    <x v="1"/>
    <x v="2"/>
    <x v="5"/>
    <x v="0"/>
    <x v="1"/>
    <m/>
  </r>
  <r>
    <n v="18105"/>
    <x v="0"/>
    <x v="0"/>
    <n v="60000"/>
    <n v="2"/>
    <x v="1"/>
    <s v="Professional"/>
    <s v="Yes"/>
    <n v="1"/>
    <x v="4"/>
    <x v="2"/>
    <x v="10"/>
    <x v="1"/>
    <x v="0"/>
    <m/>
  </r>
  <r>
    <n v="19660"/>
    <x v="0"/>
    <x v="1"/>
    <n v="80000"/>
    <n v="4"/>
    <x v="0"/>
    <s v="Management"/>
    <s v="Yes"/>
    <n v="0"/>
    <x v="0"/>
    <x v="2"/>
    <x v="1"/>
    <x v="0"/>
    <x v="0"/>
    <m/>
  </r>
  <r>
    <n v="16112"/>
    <x v="1"/>
    <x v="1"/>
    <n v="70000"/>
    <n v="4"/>
    <x v="0"/>
    <s v="Professional"/>
    <s v="Yes"/>
    <n v="2"/>
    <x v="1"/>
    <x v="2"/>
    <x v="1"/>
    <x v="0"/>
    <x v="1"/>
    <m/>
  </r>
  <r>
    <n v="20698"/>
    <x v="0"/>
    <x v="1"/>
    <n v="60000"/>
    <n v="4"/>
    <x v="0"/>
    <s v="Skilled Manual"/>
    <s v="Yes"/>
    <n v="3"/>
    <x v="2"/>
    <x v="2"/>
    <x v="0"/>
    <x v="0"/>
    <x v="0"/>
    <m/>
  </r>
  <r>
    <n v="20076"/>
    <x v="1"/>
    <x v="0"/>
    <n v="10000"/>
    <n v="2"/>
    <x v="2"/>
    <s v="Manual"/>
    <s v="Yes"/>
    <n v="2"/>
    <x v="3"/>
    <x v="2"/>
    <x v="39"/>
    <x v="0"/>
    <x v="1"/>
    <m/>
  </r>
  <r>
    <n v="24496"/>
    <x v="1"/>
    <x v="0"/>
    <n v="40000"/>
    <n v="0"/>
    <x v="2"/>
    <s v="Skilled Manual"/>
    <s v="No"/>
    <n v="2"/>
    <x v="0"/>
    <x v="2"/>
    <x v="26"/>
    <x v="2"/>
    <x v="1"/>
    <m/>
  </r>
  <r>
    <n v="15468"/>
    <x v="0"/>
    <x v="0"/>
    <n v="50000"/>
    <n v="1"/>
    <x v="0"/>
    <s v="Skilled Manual"/>
    <s v="Yes"/>
    <n v="1"/>
    <x v="0"/>
    <x v="2"/>
    <x v="11"/>
    <x v="0"/>
    <x v="0"/>
    <m/>
  </r>
  <r>
    <n v="28031"/>
    <x v="1"/>
    <x v="0"/>
    <n v="70000"/>
    <n v="2"/>
    <x v="0"/>
    <s v="Management"/>
    <s v="No"/>
    <n v="1"/>
    <x v="1"/>
    <x v="2"/>
    <x v="14"/>
    <x v="1"/>
    <x v="1"/>
    <m/>
  </r>
  <r>
    <n v="26270"/>
    <x v="1"/>
    <x v="0"/>
    <n v="20000"/>
    <n v="2"/>
    <x v="3"/>
    <s v="Clerical"/>
    <s v="Yes"/>
    <n v="2"/>
    <x v="3"/>
    <x v="2"/>
    <x v="38"/>
    <x v="0"/>
    <x v="0"/>
    <m/>
  </r>
  <r>
    <n v="22221"/>
    <x v="0"/>
    <x v="1"/>
    <n v="60000"/>
    <n v="2"/>
    <x v="2"/>
    <s v="Professional"/>
    <s v="No"/>
    <n v="2"/>
    <x v="3"/>
    <x v="2"/>
    <x v="28"/>
    <x v="0"/>
    <x v="1"/>
    <m/>
  </r>
  <r>
    <n v="28228"/>
    <x v="1"/>
    <x v="0"/>
    <n v="80000"/>
    <n v="2"/>
    <x v="3"/>
    <s v="Skilled Manual"/>
    <s v="No"/>
    <n v="2"/>
    <x v="3"/>
    <x v="2"/>
    <x v="5"/>
    <x v="0"/>
    <x v="0"/>
    <m/>
  </r>
  <r>
    <n v="18363"/>
    <x v="0"/>
    <x v="1"/>
    <n v="40000"/>
    <n v="0"/>
    <x v="2"/>
    <s v="Skilled Manual"/>
    <s v="Yes"/>
    <n v="2"/>
    <x v="2"/>
    <x v="2"/>
    <x v="26"/>
    <x v="2"/>
    <x v="1"/>
    <m/>
  </r>
  <r>
    <n v="23256"/>
    <x v="1"/>
    <x v="1"/>
    <n v="30000"/>
    <n v="1"/>
    <x v="2"/>
    <s v="Clerical"/>
    <s v="No"/>
    <n v="1"/>
    <x v="2"/>
    <x v="2"/>
    <x v="31"/>
    <x v="0"/>
    <x v="0"/>
    <m/>
  </r>
  <r>
    <n v="12768"/>
    <x v="0"/>
    <x v="1"/>
    <n v="30000"/>
    <n v="1"/>
    <x v="2"/>
    <s v="Clerical"/>
    <s v="Yes"/>
    <n v="1"/>
    <x v="1"/>
    <x v="2"/>
    <x v="31"/>
    <x v="0"/>
    <x v="1"/>
    <m/>
  </r>
  <r>
    <n v="20361"/>
    <x v="0"/>
    <x v="1"/>
    <n v="50000"/>
    <n v="2"/>
    <x v="4"/>
    <s v="Management"/>
    <s v="Yes"/>
    <n v="2"/>
    <x v="2"/>
    <x v="2"/>
    <x v="45"/>
    <x v="1"/>
    <x v="0"/>
    <m/>
  </r>
  <r>
    <n v="21306"/>
    <x v="1"/>
    <x v="1"/>
    <n v="60000"/>
    <n v="2"/>
    <x v="2"/>
    <s v="Professional"/>
    <s v="Yes"/>
    <n v="2"/>
    <x v="2"/>
    <x v="2"/>
    <x v="36"/>
    <x v="0"/>
    <x v="0"/>
    <m/>
  </r>
  <r>
    <n v="13382"/>
    <x v="0"/>
    <x v="1"/>
    <n v="70000"/>
    <n v="5"/>
    <x v="1"/>
    <s v="Professional"/>
    <s v="Yes"/>
    <n v="2"/>
    <x v="3"/>
    <x v="2"/>
    <x v="42"/>
    <x v="1"/>
    <x v="1"/>
    <m/>
  </r>
  <r>
    <n v="20310"/>
    <x v="1"/>
    <x v="1"/>
    <n v="60000"/>
    <n v="0"/>
    <x v="1"/>
    <s v="Skilled Manual"/>
    <s v="Yes"/>
    <n v="1"/>
    <x v="2"/>
    <x v="2"/>
    <x v="40"/>
    <x v="2"/>
    <x v="1"/>
    <m/>
  </r>
  <r>
    <n v="22971"/>
    <x v="1"/>
    <x v="0"/>
    <n v="30000"/>
    <n v="0"/>
    <x v="2"/>
    <s v="Skilled Manual"/>
    <s v="No"/>
    <n v="2"/>
    <x v="0"/>
    <x v="2"/>
    <x v="37"/>
    <x v="2"/>
    <x v="1"/>
    <m/>
  </r>
  <r>
    <n v="15287"/>
    <x v="1"/>
    <x v="0"/>
    <n v="50000"/>
    <n v="1"/>
    <x v="4"/>
    <s v="Skilled Manual"/>
    <s v="Yes"/>
    <n v="0"/>
    <x v="3"/>
    <x v="2"/>
    <x v="6"/>
    <x v="0"/>
    <x v="1"/>
    <m/>
  </r>
  <r>
    <n v="15532"/>
    <x v="1"/>
    <x v="1"/>
    <n v="60000"/>
    <n v="4"/>
    <x v="0"/>
    <s v="Professional"/>
    <s v="Yes"/>
    <n v="2"/>
    <x v="1"/>
    <x v="2"/>
    <x v="1"/>
    <x v="0"/>
    <x v="1"/>
    <m/>
  </r>
  <r>
    <n v="11255"/>
    <x v="0"/>
    <x v="1"/>
    <n v="70000"/>
    <n v="4"/>
    <x v="4"/>
    <s v="Management"/>
    <s v="Yes"/>
    <n v="2"/>
    <x v="2"/>
    <x v="2"/>
    <x v="49"/>
    <x v="1"/>
    <x v="0"/>
    <m/>
  </r>
  <r>
    <n v="28090"/>
    <x v="0"/>
    <x v="1"/>
    <n v="40000"/>
    <n v="0"/>
    <x v="1"/>
    <s v="Skilled Manual"/>
    <s v="Yes"/>
    <n v="1"/>
    <x v="2"/>
    <x v="2"/>
    <x v="40"/>
    <x v="2"/>
    <x v="0"/>
    <m/>
  </r>
  <r>
    <n v="15255"/>
    <x v="0"/>
    <x v="1"/>
    <n v="40000"/>
    <n v="0"/>
    <x v="2"/>
    <s v="Skilled Manual"/>
    <s v="Yes"/>
    <n v="2"/>
    <x v="2"/>
    <x v="2"/>
    <x v="26"/>
    <x v="2"/>
    <x v="1"/>
    <m/>
  </r>
  <r>
    <n v="13154"/>
    <x v="0"/>
    <x v="1"/>
    <n v="40000"/>
    <n v="0"/>
    <x v="2"/>
    <s v="Skilled Manual"/>
    <s v="No"/>
    <n v="2"/>
    <x v="0"/>
    <x v="2"/>
    <x v="40"/>
    <x v="2"/>
    <x v="1"/>
    <m/>
  </r>
  <r>
    <n v="26778"/>
    <x v="1"/>
    <x v="0"/>
    <n v="40000"/>
    <n v="0"/>
    <x v="2"/>
    <s v="Skilled Manual"/>
    <s v="Yes"/>
    <n v="2"/>
    <x v="2"/>
    <x v="2"/>
    <x v="23"/>
    <x v="0"/>
    <x v="0"/>
    <m/>
  </r>
  <r>
    <n v="23248"/>
    <x v="0"/>
    <x v="0"/>
    <n v="10000"/>
    <n v="2"/>
    <x v="2"/>
    <s v="Manual"/>
    <s v="Yes"/>
    <n v="2"/>
    <x v="3"/>
    <x v="2"/>
    <x v="39"/>
    <x v="0"/>
    <x v="0"/>
    <m/>
  </r>
  <r>
    <n v="21417"/>
    <x v="1"/>
    <x v="0"/>
    <n v="60000"/>
    <n v="0"/>
    <x v="1"/>
    <s v="Professional"/>
    <s v="No"/>
    <n v="2"/>
    <x v="3"/>
    <x v="2"/>
    <x v="21"/>
    <x v="0"/>
    <x v="1"/>
    <m/>
  </r>
  <r>
    <n v="17668"/>
    <x v="1"/>
    <x v="1"/>
    <n v="30000"/>
    <n v="2"/>
    <x v="2"/>
    <s v="Skilled Manual"/>
    <s v="Yes"/>
    <n v="2"/>
    <x v="3"/>
    <x v="2"/>
    <x v="5"/>
    <x v="0"/>
    <x v="1"/>
    <m/>
  </r>
  <r>
    <n v="27994"/>
    <x v="0"/>
    <x v="0"/>
    <n v="40000"/>
    <n v="4"/>
    <x v="2"/>
    <s v="Professional"/>
    <s v="Yes"/>
    <n v="2"/>
    <x v="2"/>
    <x v="2"/>
    <x v="45"/>
    <x v="1"/>
    <x v="0"/>
    <m/>
  </r>
  <r>
    <n v="20376"/>
    <x v="1"/>
    <x v="0"/>
    <n v="70000"/>
    <n v="3"/>
    <x v="4"/>
    <s v="Management"/>
    <s v="Yes"/>
    <n v="2"/>
    <x v="2"/>
    <x v="2"/>
    <x v="31"/>
    <x v="0"/>
    <x v="1"/>
    <m/>
  </r>
  <r>
    <n v="25954"/>
    <x v="0"/>
    <x v="1"/>
    <n v="60000"/>
    <n v="0"/>
    <x v="1"/>
    <s v="Skilled Manual"/>
    <s v="No"/>
    <n v="2"/>
    <x v="3"/>
    <x v="2"/>
    <x v="23"/>
    <x v="0"/>
    <x v="0"/>
    <m/>
  </r>
  <r>
    <n v="15749"/>
    <x v="1"/>
    <x v="0"/>
    <n v="70000"/>
    <n v="4"/>
    <x v="0"/>
    <s v="Management"/>
    <s v="Yes"/>
    <n v="2"/>
    <x v="4"/>
    <x v="2"/>
    <x v="33"/>
    <x v="1"/>
    <x v="0"/>
    <m/>
  </r>
  <r>
    <n v="25899"/>
    <x v="0"/>
    <x v="0"/>
    <n v="70000"/>
    <n v="2"/>
    <x v="2"/>
    <s v="Professional"/>
    <s v="Yes"/>
    <n v="2"/>
    <x v="4"/>
    <x v="2"/>
    <x v="39"/>
    <x v="0"/>
    <x v="0"/>
    <m/>
  </r>
  <r>
    <n v="13351"/>
    <x v="1"/>
    <x v="0"/>
    <n v="70000"/>
    <n v="4"/>
    <x v="0"/>
    <s v="Management"/>
    <s v="Yes"/>
    <n v="2"/>
    <x v="3"/>
    <x v="2"/>
    <x v="24"/>
    <x v="1"/>
    <x v="1"/>
    <m/>
  </r>
  <r>
    <n v="23333"/>
    <x v="0"/>
    <x v="1"/>
    <n v="40000"/>
    <n v="0"/>
    <x v="1"/>
    <s v="Skilled Manual"/>
    <s v="No"/>
    <n v="2"/>
    <x v="3"/>
    <x v="2"/>
    <x v="25"/>
    <x v="2"/>
    <x v="0"/>
    <m/>
  </r>
  <r>
    <n v="21660"/>
    <x v="0"/>
    <x v="0"/>
    <n v="60000"/>
    <n v="3"/>
    <x v="4"/>
    <s v="Professional"/>
    <s v="Yes"/>
    <n v="0"/>
    <x v="1"/>
    <x v="2"/>
    <x v="1"/>
    <x v="0"/>
    <x v="1"/>
    <m/>
  </r>
  <r>
    <n v="17012"/>
    <x v="0"/>
    <x v="0"/>
    <n v="60000"/>
    <n v="3"/>
    <x v="4"/>
    <s v="Professional"/>
    <s v="Yes"/>
    <n v="0"/>
    <x v="1"/>
    <x v="2"/>
    <x v="0"/>
    <x v="0"/>
    <x v="1"/>
    <m/>
  </r>
  <r>
    <n v="24514"/>
    <x v="0"/>
    <x v="1"/>
    <n v="40000"/>
    <n v="0"/>
    <x v="1"/>
    <s v="Skilled Manual"/>
    <s v="Yes"/>
    <n v="1"/>
    <x v="2"/>
    <x v="2"/>
    <x v="25"/>
    <x v="2"/>
    <x v="0"/>
    <m/>
  </r>
  <r>
    <n v="27505"/>
    <x v="1"/>
    <x v="0"/>
    <n v="40000"/>
    <n v="0"/>
    <x v="2"/>
    <s v="Skilled Manual"/>
    <s v="Yes"/>
    <n v="2"/>
    <x v="2"/>
    <x v="2"/>
    <x v="25"/>
    <x v="2"/>
    <x v="0"/>
    <m/>
  </r>
  <r>
    <n v="29243"/>
    <x v="1"/>
    <x v="1"/>
    <n v="110000"/>
    <n v="1"/>
    <x v="0"/>
    <s v="Management"/>
    <s v="Yes"/>
    <n v="1"/>
    <x v="2"/>
    <x v="2"/>
    <x v="1"/>
    <x v="0"/>
    <x v="0"/>
    <m/>
  </r>
  <r>
    <n v="26582"/>
    <x v="0"/>
    <x v="1"/>
    <n v="60000"/>
    <n v="0"/>
    <x v="1"/>
    <s v="Skilled Manual"/>
    <s v="Yes"/>
    <n v="2"/>
    <x v="2"/>
    <x v="2"/>
    <x v="6"/>
    <x v="0"/>
    <x v="1"/>
    <m/>
  </r>
  <r>
    <n v="14271"/>
    <x v="0"/>
    <x v="1"/>
    <n v="30000"/>
    <n v="0"/>
    <x v="2"/>
    <s v="Skilled Manual"/>
    <s v="Yes"/>
    <n v="2"/>
    <x v="2"/>
    <x v="2"/>
    <x v="21"/>
    <x v="0"/>
    <x v="0"/>
    <m/>
  </r>
  <r>
    <n v="23041"/>
    <x v="1"/>
    <x v="0"/>
    <n v="70000"/>
    <n v="4"/>
    <x v="2"/>
    <s v="Professional"/>
    <s v="Yes"/>
    <n v="0"/>
    <x v="2"/>
    <x v="2"/>
    <x v="5"/>
    <x v="0"/>
    <x v="1"/>
    <m/>
  </r>
  <r>
    <n v="29048"/>
    <x v="1"/>
    <x v="1"/>
    <n v="110000"/>
    <n v="2"/>
    <x v="0"/>
    <s v="Management"/>
    <s v="No"/>
    <n v="3"/>
    <x v="0"/>
    <x v="2"/>
    <x v="34"/>
    <x v="0"/>
    <x v="1"/>
    <m/>
  </r>
  <r>
    <n v="24433"/>
    <x v="0"/>
    <x v="1"/>
    <n v="70000"/>
    <n v="3"/>
    <x v="2"/>
    <s v="Professional"/>
    <s v="No"/>
    <n v="1"/>
    <x v="3"/>
    <x v="2"/>
    <x v="31"/>
    <x v="0"/>
    <x v="1"/>
    <m/>
  </r>
  <r>
    <n v="15501"/>
    <x v="0"/>
    <x v="1"/>
    <n v="70000"/>
    <n v="4"/>
    <x v="4"/>
    <s v="Professional"/>
    <s v="Yes"/>
    <n v="0"/>
    <x v="1"/>
    <x v="2"/>
    <x v="4"/>
    <x v="0"/>
    <x v="1"/>
    <m/>
  </r>
  <r>
    <n v="13911"/>
    <x v="1"/>
    <x v="0"/>
    <n v="80000"/>
    <n v="3"/>
    <x v="0"/>
    <s v="Skilled Manual"/>
    <s v="Yes"/>
    <n v="2"/>
    <x v="1"/>
    <x v="2"/>
    <x v="3"/>
    <x v="0"/>
    <x v="1"/>
    <m/>
  </r>
  <r>
    <n v="20421"/>
    <x v="1"/>
    <x v="0"/>
    <n v="40000"/>
    <n v="0"/>
    <x v="3"/>
    <s v="Clerical"/>
    <s v="Yes"/>
    <n v="2"/>
    <x v="2"/>
    <x v="2"/>
    <x v="22"/>
    <x v="2"/>
    <x v="0"/>
    <m/>
  </r>
  <r>
    <n v="16009"/>
    <x v="1"/>
    <x v="1"/>
    <n v="170000"/>
    <n v="1"/>
    <x v="4"/>
    <s v="Management"/>
    <s v="No"/>
    <n v="4"/>
    <x v="0"/>
    <x v="2"/>
    <x v="29"/>
    <x v="1"/>
    <x v="0"/>
    <m/>
  </r>
  <r>
    <n v="18411"/>
    <x v="0"/>
    <x v="1"/>
    <n v="60000"/>
    <n v="2"/>
    <x v="2"/>
    <s v="Professional"/>
    <s v="No"/>
    <n v="2"/>
    <x v="2"/>
    <x v="2"/>
    <x v="36"/>
    <x v="0"/>
    <x v="0"/>
    <m/>
  </r>
  <r>
    <n v="19163"/>
    <x v="0"/>
    <x v="0"/>
    <n v="70000"/>
    <n v="4"/>
    <x v="0"/>
    <s v="Professional"/>
    <s v="Yes"/>
    <n v="2"/>
    <x v="0"/>
    <x v="2"/>
    <x v="1"/>
    <x v="0"/>
    <x v="1"/>
    <m/>
  </r>
  <r>
    <n v="18572"/>
    <x v="0"/>
    <x v="0"/>
    <n v="60000"/>
    <n v="0"/>
    <x v="4"/>
    <s v="Professional"/>
    <s v="Yes"/>
    <n v="0"/>
    <x v="0"/>
    <x v="2"/>
    <x v="32"/>
    <x v="0"/>
    <x v="0"/>
    <m/>
  </r>
  <r>
    <n v="27540"/>
    <x v="1"/>
    <x v="0"/>
    <n v="70000"/>
    <n v="0"/>
    <x v="0"/>
    <s v="Professional"/>
    <s v="No"/>
    <n v="1"/>
    <x v="0"/>
    <x v="2"/>
    <x v="34"/>
    <x v="0"/>
    <x v="1"/>
    <m/>
  </r>
  <r>
    <n v="19889"/>
    <x v="1"/>
    <x v="0"/>
    <n v="70000"/>
    <n v="2"/>
    <x v="3"/>
    <s v="Skilled Manual"/>
    <s v="No"/>
    <n v="2"/>
    <x v="1"/>
    <x v="2"/>
    <x v="9"/>
    <x v="0"/>
    <x v="1"/>
    <m/>
  </r>
  <r>
    <n v="12922"/>
    <x v="1"/>
    <x v="0"/>
    <n v="60000"/>
    <n v="3"/>
    <x v="0"/>
    <s v="Skilled Manual"/>
    <s v="Yes"/>
    <n v="0"/>
    <x v="1"/>
    <x v="2"/>
    <x v="8"/>
    <x v="0"/>
    <x v="1"/>
    <m/>
  </r>
  <r>
    <n v="18891"/>
    <x v="0"/>
    <x v="0"/>
    <n v="40000"/>
    <n v="0"/>
    <x v="1"/>
    <s v="Skilled Manual"/>
    <s v="Yes"/>
    <n v="2"/>
    <x v="2"/>
    <x v="2"/>
    <x v="26"/>
    <x v="2"/>
    <x v="0"/>
    <m/>
  </r>
  <r>
    <n v="16773"/>
    <x v="0"/>
    <x v="1"/>
    <n v="60000"/>
    <n v="1"/>
    <x v="4"/>
    <s v="Skilled Manual"/>
    <s v="Yes"/>
    <n v="0"/>
    <x v="0"/>
    <x v="2"/>
    <x v="6"/>
    <x v="0"/>
    <x v="0"/>
    <m/>
  </r>
  <r>
    <n v="19143"/>
    <x v="1"/>
    <x v="0"/>
    <n v="80000"/>
    <n v="3"/>
    <x v="0"/>
    <s v="Skilled Manual"/>
    <s v="Yes"/>
    <n v="2"/>
    <x v="1"/>
    <x v="2"/>
    <x v="3"/>
    <x v="0"/>
    <x v="1"/>
    <m/>
  </r>
  <r>
    <n v="23882"/>
    <x v="1"/>
    <x v="0"/>
    <n v="80000"/>
    <n v="3"/>
    <x v="4"/>
    <s v="Professional"/>
    <s v="Yes"/>
    <n v="0"/>
    <x v="0"/>
    <x v="2"/>
    <x v="34"/>
    <x v="0"/>
    <x v="1"/>
    <m/>
  </r>
  <r>
    <n v="11233"/>
    <x v="0"/>
    <x v="1"/>
    <n v="70000"/>
    <n v="4"/>
    <x v="1"/>
    <s v="Professional"/>
    <s v="Yes"/>
    <n v="2"/>
    <x v="4"/>
    <x v="2"/>
    <x v="39"/>
    <x v="0"/>
    <x v="0"/>
    <m/>
  </r>
  <r>
    <n v="12056"/>
    <x v="0"/>
    <x v="1"/>
    <n v="120000"/>
    <n v="2"/>
    <x v="4"/>
    <s v="Management"/>
    <s v="Yes"/>
    <n v="3"/>
    <x v="2"/>
    <x v="2"/>
    <x v="46"/>
    <x v="1"/>
    <x v="0"/>
    <m/>
  </r>
  <r>
    <n v="15555"/>
    <x v="0"/>
    <x v="0"/>
    <n v="60000"/>
    <n v="1"/>
    <x v="1"/>
    <s v="Skilled Manual"/>
    <s v="Yes"/>
    <n v="1"/>
    <x v="1"/>
    <x v="2"/>
    <x v="12"/>
    <x v="0"/>
    <x v="1"/>
    <m/>
  </r>
  <r>
    <n v="18423"/>
    <x v="1"/>
    <x v="1"/>
    <n v="80000"/>
    <n v="2"/>
    <x v="3"/>
    <s v="Skilled Manual"/>
    <s v="No"/>
    <n v="2"/>
    <x v="3"/>
    <x v="2"/>
    <x v="31"/>
    <x v="0"/>
    <x v="0"/>
    <m/>
  </r>
  <r>
    <n v="22743"/>
    <x v="0"/>
    <x v="0"/>
    <n v="40000"/>
    <n v="5"/>
    <x v="2"/>
    <s v="Professional"/>
    <s v="Yes"/>
    <n v="2"/>
    <x v="4"/>
    <x v="2"/>
    <x v="2"/>
    <x v="1"/>
    <x v="0"/>
    <m/>
  </r>
  <r>
    <n v="25343"/>
    <x v="1"/>
    <x v="0"/>
    <n v="20000"/>
    <n v="3"/>
    <x v="3"/>
    <s v="Clerical"/>
    <s v="Yes"/>
    <n v="2"/>
    <x v="3"/>
    <x v="2"/>
    <x v="5"/>
    <x v="0"/>
    <x v="0"/>
    <m/>
  </r>
  <r>
    <n v="13390"/>
    <x v="0"/>
    <x v="0"/>
    <n v="70000"/>
    <n v="4"/>
    <x v="1"/>
    <s v="Professional"/>
    <s v="No"/>
    <n v="1"/>
    <x v="3"/>
    <x v="2"/>
    <x v="16"/>
    <x v="1"/>
    <x v="0"/>
    <m/>
  </r>
  <r>
    <n v="17482"/>
    <x v="1"/>
    <x v="0"/>
    <n v="40000"/>
    <n v="0"/>
    <x v="3"/>
    <s v="Clerical"/>
    <s v="Yes"/>
    <n v="2"/>
    <x v="2"/>
    <x v="2"/>
    <x v="19"/>
    <x v="2"/>
    <x v="0"/>
    <m/>
  </r>
  <r>
    <n v="13176"/>
    <x v="1"/>
    <x v="1"/>
    <n v="130000"/>
    <n v="0"/>
    <x v="4"/>
    <s v="Management"/>
    <s v="No"/>
    <n v="2"/>
    <x v="0"/>
    <x v="2"/>
    <x v="13"/>
    <x v="0"/>
    <x v="1"/>
    <m/>
  </r>
  <r>
    <n v="20504"/>
    <x v="0"/>
    <x v="0"/>
    <n v="40000"/>
    <n v="5"/>
    <x v="2"/>
    <s v="Professional"/>
    <s v="No"/>
    <n v="2"/>
    <x v="1"/>
    <x v="2"/>
    <x v="2"/>
    <x v="1"/>
    <x v="0"/>
    <m/>
  </r>
  <r>
    <n v="12205"/>
    <x v="1"/>
    <x v="0"/>
    <n v="130000"/>
    <n v="2"/>
    <x v="0"/>
    <s v="Management"/>
    <s v="No"/>
    <n v="4"/>
    <x v="0"/>
    <x v="2"/>
    <x v="41"/>
    <x v="1"/>
    <x v="0"/>
    <m/>
  </r>
  <r>
    <n v="16751"/>
    <x v="0"/>
    <x v="1"/>
    <n v="60000"/>
    <n v="0"/>
    <x v="1"/>
    <s v="Skilled Manual"/>
    <s v="Yes"/>
    <n v="1"/>
    <x v="2"/>
    <x v="2"/>
    <x v="21"/>
    <x v="0"/>
    <x v="1"/>
    <m/>
  </r>
  <r>
    <n v="21613"/>
    <x v="1"/>
    <x v="1"/>
    <n v="50000"/>
    <n v="2"/>
    <x v="0"/>
    <s v="Skilled Manual"/>
    <s v="No"/>
    <n v="1"/>
    <x v="0"/>
    <x v="2"/>
    <x v="32"/>
    <x v="0"/>
    <x v="1"/>
    <m/>
  </r>
  <r>
    <n v="24801"/>
    <x v="1"/>
    <x v="1"/>
    <n v="60000"/>
    <n v="1"/>
    <x v="4"/>
    <s v="Professional"/>
    <s v="Yes"/>
    <n v="0"/>
    <x v="1"/>
    <x v="2"/>
    <x v="11"/>
    <x v="0"/>
    <x v="1"/>
    <m/>
  </r>
  <r>
    <n v="17519"/>
    <x v="0"/>
    <x v="0"/>
    <n v="60000"/>
    <n v="0"/>
    <x v="1"/>
    <s v="Professional"/>
    <s v="Yes"/>
    <n v="2"/>
    <x v="2"/>
    <x v="2"/>
    <x v="21"/>
    <x v="0"/>
    <x v="0"/>
    <m/>
  </r>
  <r>
    <n v="18347"/>
    <x v="1"/>
    <x v="0"/>
    <n v="30000"/>
    <n v="0"/>
    <x v="1"/>
    <s v="Skilled Manual"/>
    <s v="No"/>
    <n v="1"/>
    <x v="3"/>
    <x v="2"/>
    <x v="23"/>
    <x v="0"/>
    <x v="0"/>
    <m/>
  </r>
  <r>
    <n v="29052"/>
    <x v="1"/>
    <x v="1"/>
    <n v="40000"/>
    <n v="0"/>
    <x v="1"/>
    <s v="Skilled Manual"/>
    <s v="Yes"/>
    <n v="1"/>
    <x v="2"/>
    <x v="2"/>
    <x v="40"/>
    <x v="2"/>
    <x v="0"/>
    <m/>
  </r>
  <r>
    <n v="11745"/>
    <x v="0"/>
    <x v="0"/>
    <n v="60000"/>
    <n v="1"/>
    <x v="0"/>
    <s v="Professional"/>
    <s v="Yes"/>
    <n v="1"/>
    <x v="0"/>
    <x v="2"/>
    <x v="15"/>
    <x v="0"/>
    <x v="1"/>
    <m/>
  </r>
  <r>
    <n v="19147"/>
    <x v="0"/>
    <x v="1"/>
    <n v="40000"/>
    <n v="0"/>
    <x v="0"/>
    <s v="Professional"/>
    <s v="No"/>
    <n v="1"/>
    <x v="0"/>
    <x v="2"/>
    <x v="0"/>
    <x v="0"/>
    <x v="0"/>
    <m/>
  </r>
  <r>
    <n v="19217"/>
    <x v="0"/>
    <x v="1"/>
    <n v="30000"/>
    <n v="2"/>
    <x v="2"/>
    <s v="Skilled Manual"/>
    <s v="Yes"/>
    <n v="2"/>
    <x v="3"/>
    <x v="2"/>
    <x v="38"/>
    <x v="0"/>
    <x v="0"/>
    <m/>
  </r>
  <r>
    <n v="15839"/>
    <x v="1"/>
    <x v="1"/>
    <n v="30000"/>
    <n v="0"/>
    <x v="1"/>
    <s v="Skilled Manual"/>
    <s v="Yes"/>
    <n v="1"/>
    <x v="2"/>
    <x v="2"/>
    <x v="21"/>
    <x v="0"/>
    <x v="0"/>
    <m/>
  </r>
  <r>
    <n v="13714"/>
    <x v="0"/>
    <x v="0"/>
    <n v="20000"/>
    <n v="2"/>
    <x v="2"/>
    <s v="Manual"/>
    <s v="No"/>
    <n v="2"/>
    <x v="3"/>
    <x v="2"/>
    <x v="39"/>
    <x v="0"/>
    <x v="1"/>
    <m/>
  </r>
  <r>
    <n v="22330"/>
    <x v="0"/>
    <x v="1"/>
    <n v="50000"/>
    <n v="0"/>
    <x v="4"/>
    <s v="Skilled Manual"/>
    <s v="Yes"/>
    <n v="0"/>
    <x v="3"/>
    <x v="2"/>
    <x v="21"/>
    <x v="0"/>
    <x v="1"/>
    <m/>
  </r>
  <r>
    <n v="18783"/>
    <x v="1"/>
    <x v="1"/>
    <n v="80000"/>
    <n v="0"/>
    <x v="0"/>
    <s v="Management"/>
    <s v="No"/>
    <n v="1"/>
    <x v="0"/>
    <x v="2"/>
    <x v="13"/>
    <x v="0"/>
    <x v="1"/>
    <m/>
  </r>
  <r>
    <n v="25041"/>
    <x v="1"/>
    <x v="1"/>
    <n v="40000"/>
    <n v="0"/>
    <x v="2"/>
    <s v="Skilled Manual"/>
    <s v="Yes"/>
    <n v="2"/>
    <x v="2"/>
    <x v="2"/>
    <x v="23"/>
    <x v="0"/>
    <x v="0"/>
    <m/>
  </r>
  <r>
    <n v="22046"/>
    <x v="1"/>
    <x v="0"/>
    <n v="80000"/>
    <n v="0"/>
    <x v="0"/>
    <s v="Management"/>
    <s v="No"/>
    <n v="1"/>
    <x v="0"/>
    <x v="2"/>
    <x v="13"/>
    <x v="0"/>
    <x v="1"/>
    <m/>
  </r>
  <r>
    <n v="28052"/>
    <x v="0"/>
    <x v="1"/>
    <n v="60000"/>
    <n v="2"/>
    <x v="2"/>
    <s v="Professional"/>
    <s v="Yes"/>
    <n v="2"/>
    <x v="4"/>
    <x v="2"/>
    <x v="10"/>
    <x v="1"/>
    <x v="0"/>
    <m/>
  </r>
  <r>
    <n v="26693"/>
    <x v="0"/>
    <x v="1"/>
    <n v="70000"/>
    <n v="3"/>
    <x v="1"/>
    <s v="Professional"/>
    <s v="Yes"/>
    <n v="1"/>
    <x v="2"/>
    <x v="2"/>
    <x v="38"/>
    <x v="0"/>
    <x v="0"/>
    <m/>
  </r>
  <r>
    <n v="24955"/>
    <x v="1"/>
    <x v="1"/>
    <n v="30000"/>
    <n v="5"/>
    <x v="3"/>
    <s v="Skilled Manual"/>
    <s v="Yes"/>
    <n v="3"/>
    <x v="4"/>
    <x v="2"/>
    <x v="2"/>
    <x v="1"/>
    <x v="1"/>
    <m/>
  </r>
  <r>
    <n v="26065"/>
    <x v="1"/>
    <x v="0"/>
    <n v="110000"/>
    <n v="3"/>
    <x v="0"/>
    <s v="Management"/>
    <s v="No"/>
    <n v="4"/>
    <x v="3"/>
    <x v="2"/>
    <x v="0"/>
    <x v="0"/>
    <x v="0"/>
    <m/>
  </r>
  <r>
    <n v="13942"/>
    <x v="0"/>
    <x v="1"/>
    <n v="60000"/>
    <n v="1"/>
    <x v="1"/>
    <s v="Skilled Manual"/>
    <s v="Yes"/>
    <n v="1"/>
    <x v="0"/>
    <x v="2"/>
    <x v="30"/>
    <x v="0"/>
    <x v="0"/>
    <m/>
  </r>
  <r>
    <n v="11219"/>
    <x v="0"/>
    <x v="1"/>
    <n v="60000"/>
    <n v="2"/>
    <x v="2"/>
    <s v="Professional"/>
    <s v="Yes"/>
    <n v="2"/>
    <x v="4"/>
    <x v="2"/>
    <x v="10"/>
    <x v="1"/>
    <x v="0"/>
    <m/>
  </r>
  <r>
    <n v="22118"/>
    <x v="1"/>
    <x v="0"/>
    <n v="70000"/>
    <n v="3"/>
    <x v="4"/>
    <s v="Management"/>
    <s v="Yes"/>
    <n v="2"/>
    <x v="2"/>
    <x v="2"/>
    <x v="39"/>
    <x v="0"/>
    <x v="1"/>
    <m/>
  </r>
  <r>
    <n v="23197"/>
    <x v="0"/>
    <x v="1"/>
    <n v="50000"/>
    <n v="3"/>
    <x v="0"/>
    <s v="Skilled Manual"/>
    <s v="Yes"/>
    <n v="2"/>
    <x v="1"/>
    <x v="2"/>
    <x v="8"/>
    <x v="0"/>
    <x v="0"/>
    <m/>
  </r>
  <r>
    <n v="14883"/>
    <x v="0"/>
    <x v="0"/>
    <n v="30000"/>
    <n v="1"/>
    <x v="0"/>
    <s v="Skilled Manual"/>
    <s v="Yes"/>
    <n v="1"/>
    <x v="2"/>
    <x v="2"/>
    <x v="39"/>
    <x v="0"/>
    <x v="1"/>
    <m/>
  </r>
  <r>
    <n v="27279"/>
    <x v="1"/>
    <x v="0"/>
    <n v="70000"/>
    <n v="2"/>
    <x v="0"/>
    <s v="Skilled Manual"/>
    <s v="Yes"/>
    <n v="0"/>
    <x v="1"/>
    <x v="2"/>
    <x v="13"/>
    <x v="0"/>
    <x v="1"/>
    <m/>
  </r>
  <r>
    <n v="18322"/>
    <x v="1"/>
    <x v="1"/>
    <n v="30000"/>
    <n v="0"/>
    <x v="3"/>
    <s v="Clerical"/>
    <s v="No"/>
    <n v="2"/>
    <x v="0"/>
    <x v="2"/>
    <x v="22"/>
    <x v="2"/>
    <x v="0"/>
    <m/>
  </r>
  <r>
    <n v="15879"/>
    <x v="0"/>
    <x v="1"/>
    <n v="70000"/>
    <n v="5"/>
    <x v="0"/>
    <s v="Management"/>
    <s v="Yes"/>
    <n v="2"/>
    <x v="1"/>
    <x v="2"/>
    <x v="33"/>
    <x v="1"/>
    <x v="0"/>
    <m/>
  </r>
  <r>
    <n v="28278"/>
    <x v="0"/>
    <x v="1"/>
    <n v="50000"/>
    <n v="2"/>
    <x v="4"/>
    <s v="Management"/>
    <s v="Yes"/>
    <n v="2"/>
    <x v="2"/>
    <x v="2"/>
    <x v="51"/>
    <x v="1"/>
    <x v="0"/>
    <m/>
  </r>
  <r>
    <n v="24416"/>
    <x v="0"/>
    <x v="1"/>
    <n v="90000"/>
    <n v="4"/>
    <x v="2"/>
    <s v="Professional"/>
    <s v="Yes"/>
    <n v="2"/>
    <x v="3"/>
    <x v="2"/>
    <x v="12"/>
    <x v="0"/>
    <x v="0"/>
    <m/>
  </r>
  <r>
    <n v="28066"/>
    <x v="0"/>
    <x v="1"/>
    <n v="80000"/>
    <n v="2"/>
    <x v="4"/>
    <s v="Professional"/>
    <s v="Yes"/>
    <n v="0"/>
    <x v="0"/>
    <x v="2"/>
    <x v="34"/>
    <x v="0"/>
    <x v="1"/>
    <m/>
  </r>
  <r>
    <n v="11275"/>
    <x v="0"/>
    <x v="0"/>
    <n v="80000"/>
    <n v="4"/>
    <x v="4"/>
    <s v="Management"/>
    <s v="Yes"/>
    <n v="2"/>
    <x v="0"/>
    <x v="2"/>
    <x v="52"/>
    <x v="1"/>
    <x v="1"/>
    <m/>
  </r>
  <r>
    <n v="14872"/>
    <x v="0"/>
    <x v="1"/>
    <n v="30000"/>
    <n v="0"/>
    <x v="4"/>
    <s v="Skilled Manual"/>
    <s v="Yes"/>
    <n v="0"/>
    <x v="0"/>
    <x v="2"/>
    <x v="21"/>
    <x v="0"/>
    <x v="0"/>
    <m/>
  </r>
  <r>
    <n v="16151"/>
    <x v="0"/>
    <x v="0"/>
    <n v="60000"/>
    <n v="1"/>
    <x v="0"/>
    <s v="Professional"/>
    <s v="Yes"/>
    <n v="1"/>
    <x v="1"/>
    <x v="2"/>
    <x v="28"/>
    <x v="0"/>
    <x v="1"/>
    <m/>
  </r>
  <r>
    <n v="19731"/>
    <x v="0"/>
    <x v="1"/>
    <n v="80000"/>
    <n v="4"/>
    <x v="4"/>
    <s v="Management"/>
    <s v="Yes"/>
    <n v="2"/>
    <x v="2"/>
    <x v="2"/>
    <x v="35"/>
    <x v="1"/>
    <x v="0"/>
    <m/>
  </r>
  <r>
    <n v="23801"/>
    <x v="0"/>
    <x v="0"/>
    <n v="20000"/>
    <n v="2"/>
    <x v="3"/>
    <s v="Clerical"/>
    <s v="Yes"/>
    <n v="2"/>
    <x v="0"/>
    <x v="2"/>
    <x v="38"/>
    <x v="0"/>
    <x v="0"/>
    <m/>
  </r>
  <r>
    <n v="11807"/>
    <x v="0"/>
    <x v="1"/>
    <n v="70000"/>
    <n v="3"/>
    <x v="4"/>
    <s v="Professional"/>
    <s v="Yes"/>
    <n v="0"/>
    <x v="1"/>
    <x v="2"/>
    <x v="17"/>
    <x v="0"/>
    <x v="0"/>
    <m/>
  </r>
  <r>
    <n v="11622"/>
    <x v="0"/>
    <x v="1"/>
    <n v="50000"/>
    <n v="0"/>
    <x v="4"/>
    <s v="Skilled Manual"/>
    <s v="Yes"/>
    <n v="0"/>
    <x v="0"/>
    <x v="2"/>
    <x v="21"/>
    <x v="0"/>
    <x v="0"/>
    <m/>
  </r>
  <r>
    <n v="26597"/>
    <x v="1"/>
    <x v="0"/>
    <n v="60000"/>
    <n v="4"/>
    <x v="0"/>
    <s v="Skilled Manual"/>
    <s v="No"/>
    <n v="2"/>
    <x v="0"/>
    <x v="2"/>
    <x v="0"/>
    <x v="0"/>
    <x v="0"/>
    <m/>
  </r>
  <r>
    <n v="27074"/>
    <x v="0"/>
    <x v="0"/>
    <n v="70000"/>
    <n v="1"/>
    <x v="4"/>
    <s v="Skilled Manual"/>
    <s v="Yes"/>
    <n v="0"/>
    <x v="0"/>
    <x v="2"/>
    <x v="11"/>
    <x v="0"/>
    <x v="1"/>
    <m/>
  </r>
  <r>
    <n v="19228"/>
    <x v="0"/>
    <x v="0"/>
    <n v="40000"/>
    <n v="2"/>
    <x v="1"/>
    <s v="Clerical"/>
    <s v="Yes"/>
    <n v="1"/>
    <x v="0"/>
    <x v="2"/>
    <x v="28"/>
    <x v="0"/>
    <x v="0"/>
    <m/>
  </r>
  <r>
    <n v="13415"/>
    <x v="1"/>
    <x v="1"/>
    <n v="100000"/>
    <n v="1"/>
    <x v="4"/>
    <s v="Management"/>
    <s v="Yes"/>
    <n v="3"/>
    <x v="1"/>
    <x v="2"/>
    <x v="49"/>
    <x v="1"/>
    <x v="1"/>
    <m/>
  </r>
  <r>
    <n v="17000"/>
    <x v="1"/>
    <x v="0"/>
    <n v="70000"/>
    <n v="4"/>
    <x v="0"/>
    <s v="Skilled Manual"/>
    <s v="Yes"/>
    <n v="2"/>
    <x v="1"/>
    <x v="2"/>
    <x v="1"/>
    <x v="0"/>
    <x v="1"/>
    <m/>
  </r>
  <r>
    <n v="14569"/>
    <x v="0"/>
    <x v="1"/>
    <n v="60000"/>
    <n v="1"/>
    <x v="4"/>
    <s v="Professional"/>
    <s v="Yes"/>
    <n v="0"/>
    <x v="0"/>
    <x v="2"/>
    <x v="11"/>
    <x v="0"/>
    <x v="0"/>
    <m/>
  </r>
  <r>
    <n v="13873"/>
    <x v="0"/>
    <x v="1"/>
    <n v="70000"/>
    <n v="3"/>
    <x v="4"/>
    <s v="Professional"/>
    <s v="Yes"/>
    <n v="0"/>
    <x v="0"/>
    <x v="2"/>
    <x v="11"/>
    <x v="0"/>
    <x v="1"/>
    <m/>
  </r>
  <r>
    <n v="20401"/>
    <x v="0"/>
    <x v="0"/>
    <n v="50000"/>
    <n v="4"/>
    <x v="0"/>
    <s v="Management"/>
    <s v="Yes"/>
    <n v="2"/>
    <x v="3"/>
    <x v="2"/>
    <x v="46"/>
    <x v="1"/>
    <x v="1"/>
    <m/>
  </r>
  <r>
    <n v="21583"/>
    <x v="0"/>
    <x v="0"/>
    <n v="50000"/>
    <n v="1"/>
    <x v="0"/>
    <s v="Skilled Manual"/>
    <s v="Yes"/>
    <n v="0"/>
    <x v="0"/>
    <x v="2"/>
    <x v="17"/>
    <x v="0"/>
    <x v="1"/>
    <m/>
  </r>
  <r>
    <n v="12029"/>
    <x v="0"/>
    <x v="1"/>
    <n v="30000"/>
    <n v="0"/>
    <x v="3"/>
    <s v="Clerical"/>
    <s v="No"/>
    <n v="2"/>
    <x v="0"/>
    <x v="2"/>
    <x v="26"/>
    <x v="2"/>
    <x v="0"/>
    <m/>
  </r>
  <r>
    <n v="18066"/>
    <x v="1"/>
    <x v="1"/>
    <n v="70000"/>
    <n v="5"/>
    <x v="0"/>
    <s v="Management"/>
    <s v="Yes"/>
    <n v="3"/>
    <x v="4"/>
    <x v="2"/>
    <x v="2"/>
    <x v="1"/>
    <x v="1"/>
    <m/>
  </r>
  <r>
    <n v="28192"/>
    <x v="0"/>
    <x v="0"/>
    <n v="70000"/>
    <n v="5"/>
    <x v="4"/>
    <s v="Professional"/>
    <s v="Yes"/>
    <n v="3"/>
    <x v="4"/>
    <x v="2"/>
    <x v="30"/>
    <x v="0"/>
    <x v="0"/>
    <m/>
  </r>
  <r>
    <n v="16122"/>
    <x v="0"/>
    <x v="1"/>
    <n v="40000"/>
    <n v="4"/>
    <x v="2"/>
    <s v="Skilled Manual"/>
    <s v="Yes"/>
    <n v="2"/>
    <x v="0"/>
    <x v="2"/>
    <x v="20"/>
    <x v="0"/>
    <x v="1"/>
    <m/>
  </r>
  <r>
    <n v="18607"/>
    <x v="1"/>
    <x v="0"/>
    <n v="60000"/>
    <n v="4"/>
    <x v="0"/>
    <s v="Skilled Manual"/>
    <s v="Yes"/>
    <n v="2"/>
    <x v="1"/>
    <x v="2"/>
    <x v="0"/>
    <x v="0"/>
    <x v="1"/>
    <m/>
  </r>
  <r>
    <n v="28858"/>
    <x v="1"/>
    <x v="1"/>
    <n v="80000"/>
    <n v="3"/>
    <x v="0"/>
    <s v="Skilled Manual"/>
    <s v="Yes"/>
    <n v="0"/>
    <x v="1"/>
    <x v="2"/>
    <x v="8"/>
    <x v="0"/>
    <x v="0"/>
    <m/>
  </r>
  <r>
    <n v="14432"/>
    <x v="1"/>
    <x v="1"/>
    <n v="90000"/>
    <n v="4"/>
    <x v="4"/>
    <s v="Management"/>
    <s v="Yes"/>
    <n v="1"/>
    <x v="2"/>
    <x v="2"/>
    <x v="49"/>
    <x v="1"/>
    <x v="0"/>
    <m/>
  </r>
  <r>
    <n v="26305"/>
    <x v="1"/>
    <x v="0"/>
    <n v="60000"/>
    <n v="2"/>
    <x v="0"/>
    <s v="Skilled Manual"/>
    <s v="No"/>
    <n v="0"/>
    <x v="0"/>
    <x v="2"/>
    <x v="4"/>
    <x v="0"/>
    <x v="1"/>
    <m/>
  </r>
  <r>
    <n v="22050"/>
    <x v="1"/>
    <x v="1"/>
    <n v="90000"/>
    <n v="4"/>
    <x v="0"/>
    <s v="Management"/>
    <s v="Yes"/>
    <n v="1"/>
    <x v="3"/>
    <x v="2"/>
    <x v="13"/>
    <x v="0"/>
    <x v="1"/>
    <m/>
  </r>
  <r>
    <n v="25394"/>
    <x v="0"/>
    <x v="1"/>
    <n v="60000"/>
    <n v="1"/>
    <x v="4"/>
    <s v="Professional"/>
    <s v="Yes"/>
    <n v="0"/>
    <x v="1"/>
    <x v="2"/>
    <x v="17"/>
    <x v="0"/>
    <x v="1"/>
    <m/>
  </r>
  <r>
    <n v="19747"/>
    <x v="0"/>
    <x v="1"/>
    <n v="50000"/>
    <n v="4"/>
    <x v="0"/>
    <s v="Management"/>
    <s v="Yes"/>
    <n v="2"/>
    <x v="4"/>
    <x v="2"/>
    <x v="18"/>
    <x v="1"/>
    <x v="0"/>
    <m/>
  </r>
  <r>
    <n v="23195"/>
    <x v="1"/>
    <x v="1"/>
    <n v="50000"/>
    <n v="3"/>
    <x v="0"/>
    <s v="Skilled Manual"/>
    <s v="Yes"/>
    <n v="2"/>
    <x v="1"/>
    <x v="2"/>
    <x v="3"/>
    <x v="0"/>
    <x v="1"/>
    <m/>
  </r>
  <r>
    <n v="21695"/>
    <x v="0"/>
    <x v="1"/>
    <n v="60000"/>
    <n v="0"/>
    <x v="4"/>
    <s v="Skilled Manual"/>
    <s v="Yes"/>
    <n v="0"/>
    <x v="3"/>
    <x v="2"/>
    <x v="32"/>
    <x v="0"/>
    <x v="1"/>
    <m/>
  </r>
  <r>
    <n v="13934"/>
    <x v="0"/>
    <x v="1"/>
    <n v="40000"/>
    <n v="4"/>
    <x v="2"/>
    <s v="Skilled Manual"/>
    <s v="Yes"/>
    <n v="2"/>
    <x v="1"/>
    <x v="2"/>
    <x v="30"/>
    <x v="0"/>
    <x v="0"/>
    <m/>
  </r>
  <r>
    <n v="13337"/>
    <x v="0"/>
    <x v="0"/>
    <n v="80000"/>
    <n v="5"/>
    <x v="0"/>
    <s v="Management"/>
    <s v="Yes"/>
    <n v="2"/>
    <x v="2"/>
    <x v="2"/>
    <x v="46"/>
    <x v="1"/>
    <x v="0"/>
    <m/>
  </r>
  <r>
    <n v="27190"/>
    <x v="0"/>
    <x v="0"/>
    <n v="40000"/>
    <n v="3"/>
    <x v="1"/>
    <s v="Clerical"/>
    <s v="Yes"/>
    <n v="1"/>
    <x v="3"/>
    <x v="2"/>
    <x v="21"/>
    <x v="0"/>
    <x v="0"/>
    <m/>
  </r>
  <r>
    <n v="28657"/>
    <x v="1"/>
    <x v="1"/>
    <n v="60000"/>
    <n v="2"/>
    <x v="0"/>
    <s v="Skilled Manual"/>
    <s v="Yes"/>
    <n v="0"/>
    <x v="1"/>
    <x v="2"/>
    <x v="4"/>
    <x v="0"/>
    <x v="1"/>
    <m/>
  </r>
  <r>
    <n v="21713"/>
    <x v="1"/>
    <x v="1"/>
    <n v="80000"/>
    <n v="5"/>
    <x v="4"/>
    <s v="Skilled Manual"/>
    <s v="No"/>
    <n v="0"/>
    <x v="0"/>
    <x v="2"/>
    <x v="15"/>
    <x v="0"/>
    <x v="0"/>
    <m/>
  </r>
  <r>
    <n v="21752"/>
    <x v="0"/>
    <x v="1"/>
    <n v="60000"/>
    <n v="3"/>
    <x v="4"/>
    <s v="Management"/>
    <s v="Yes"/>
    <n v="2"/>
    <x v="4"/>
    <x v="2"/>
    <x v="46"/>
    <x v="1"/>
    <x v="0"/>
    <m/>
  </r>
  <r>
    <n v="27273"/>
    <x v="1"/>
    <x v="1"/>
    <n v="70000"/>
    <n v="3"/>
    <x v="4"/>
    <s v="Professional"/>
    <s v="No"/>
    <n v="0"/>
    <x v="0"/>
    <x v="2"/>
    <x v="11"/>
    <x v="0"/>
    <x v="1"/>
    <m/>
  </r>
  <r>
    <n v="22719"/>
    <x v="1"/>
    <x v="1"/>
    <n v="110000"/>
    <n v="3"/>
    <x v="0"/>
    <s v="Management"/>
    <s v="Yes"/>
    <n v="4"/>
    <x v="1"/>
    <x v="2"/>
    <x v="8"/>
    <x v="0"/>
    <x v="1"/>
    <m/>
  </r>
  <r>
    <n v="22042"/>
    <x v="0"/>
    <x v="0"/>
    <n v="70000"/>
    <n v="0"/>
    <x v="1"/>
    <s v="Skilled Manual"/>
    <s v="Yes"/>
    <n v="2"/>
    <x v="2"/>
    <x v="2"/>
    <x v="17"/>
    <x v="0"/>
    <x v="1"/>
    <m/>
  </r>
  <r>
    <n v="21451"/>
    <x v="0"/>
    <x v="0"/>
    <n v="40000"/>
    <n v="4"/>
    <x v="2"/>
    <s v="Professional"/>
    <s v="Yes"/>
    <n v="2"/>
    <x v="4"/>
    <x v="2"/>
    <x v="33"/>
    <x v="1"/>
    <x v="0"/>
    <m/>
  </r>
  <r>
    <n v="20754"/>
    <x v="0"/>
    <x v="1"/>
    <n v="30000"/>
    <n v="2"/>
    <x v="2"/>
    <s v="Skilled Manual"/>
    <s v="Yes"/>
    <n v="2"/>
    <x v="3"/>
    <x v="2"/>
    <x v="36"/>
    <x v="0"/>
    <x v="0"/>
    <m/>
  </r>
  <r>
    <n v="12153"/>
    <x v="1"/>
    <x v="0"/>
    <n v="70000"/>
    <n v="3"/>
    <x v="1"/>
    <s v="Professional"/>
    <s v="Yes"/>
    <n v="1"/>
    <x v="2"/>
    <x v="2"/>
    <x v="38"/>
    <x v="0"/>
    <x v="1"/>
    <m/>
  </r>
  <r>
    <n v="16895"/>
    <x v="0"/>
    <x v="0"/>
    <n v="40000"/>
    <n v="3"/>
    <x v="1"/>
    <s v="Professional"/>
    <s v="No"/>
    <n v="2"/>
    <x v="3"/>
    <x v="2"/>
    <x v="9"/>
    <x v="0"/>
    <x v="1"/>
    <m/>
  </r>
  <r>
    <n v="26728"/>
    <x v="1"/>
    <x v="1"/>
    <n v="70000"/>
    <n v="3"/>
    <x v="4"/>
    <s v="Management"/>
    <s v="No"/>
    <n v="2"/>
    <x v="3"/>
    <x v="2"/>
    <x v="39"/>
    <x v="0"/>
    <x v="1"/>
    <m/>
  </r>
  <r>
    <n v="11090"/>
    <x v="1"/>
    <x v="1"/>
    <n v="90000"/>
    <n v="2"/>
    <x v="1"/>
    <s v="Professional"/>
    <s v="Yes"/>
    <n v="1"/>
    <x v="1"/>
    <x v="2"/>
    <x v="28"/>
    <x v="0"/>
    <x v="1"/>
    <m/>
  </r>
  <r>
    <n v="15862"/>
    <x v="1"/>
    <x v="0"/>
    <n v="50000"/>
    <n v="0"/>
    <x v="4"/>
    <s v="Skilled Manual"/>
    <s v="Yes"/>
    <n v="0"/>
    <x v="3"/>
    <x v="2"/>
    <x v="6"/>
    <x v="0"/>
    <x v="1"/>
    <m/>
  </r>
  <r>
    <n v="26495"/>
    <x v="1"/>
    <x v="0"/>
    <n v="40000"/>
    <n v="2"/>
    <x v="2"/>
    <s v="Professional"/>
    <s v="Yes"/>
    <n v="2"/>
    <x v="4"/>
    <x v="2"/>
    <x v="42"/>
    <x v="1"/>
    <x v="0"/>
    <m/>
  </r>
  <r>
    <n v="11823"/>
    <x v="0"/>
    <x v="0"/>
    <n v="70000"/>
    <n v="0"/>
    <x v="4"/>
    <s v="Professional"/>
    <s v="Yes"/>
    <n v="0"/>
    <x v="1"/>
    <x v="2"/>
    <x v="32"/>
    <x v="0"/>
    <x v="0"/>
    <m/>
  </r>
  <r>
    <n v="23449"/>
    <x v="0"/>
    <x v="1"/>
    <n v="60000"/>
    <n v="2"/>
    <x v="2"/>
    <s v="Professional"/>
    <s v="Yes"/>
    <n v="2"/>
    <x v="2"/>
    <x v="2"/>
    <x v="28"/>
    <x v="0"/>
    <x v="0"/>
    <m/>
  </r>
  <r>
    <n v="23459"/>
    <x v="0"/>
    <x v="1"/>
    <n v="60000"/>
    <n v="2"/>
    <x v="2"/>
    <s v="Professional"/>
    <s v="Yes"/>
    <n v="2"/>
    <x v="2"/>
    <x v="2"/>
    <x v="5"/>
    <x v="0"/>
    <x v="0"/>
    <m/>
  </r>
  <r>
    <n v="19543"/>
    <x v="0"/>
    <x v="1"/>
    <n v="70000"/>
    <n v="5"/>
    <x v="4"/>
    <s v="Professional"/>
    <s v="No"/>
    <n v="3"/>
    <x v="4"/>
    <x v="2"/>
    <x v="15"/>
    <x v="0"/>
    <x v="0"/>
    <m/>
  </r>
  <r>
    <n v="14914"/>
    <x v="0"/>
    <x v="0"/>
    <n v="40000"/>
    <n v="1"/>
    <x v="1"/>
    <s v="Clerical"/>
    <s v="Yes"/>
    <n v="1"/>
    <x v="3"/>
    <x v="2"/>
    <x v="38"/>
    <x v="0"/>
    <x v="1"/>
    <m/>
  </r>
  <r>
    <n v="12033"/>
    <x v="1"/>
    <x v="0"/>
    <n v="40000"/>
    <n v="0"/>
    <x v="2"/>
    <s v="Skilled Manual"/>
    <s v="No"/>
    <n v="2"/>
    <x v="0"/>
    <x v="2"/>
    <x v="40"/>
    <x v="2"/>
    <x v="1"/>
    <m/>
  </r>
  <r>
    <n v="11941"/>
    <x v="1"/>
    <x v="1"/>
    <n v="60000"/>
    <n v="0"/>
    <x v="1"/>
    <s v="Skilled Manual"/>
    <s v="Yes"/>
    <n v="0"/>
    <x v="2"/>
    <x v="2"/>
    <x v="19"/>
    <x v="2"/>
    <x v="0"/>
    <m/>
  </r>
  <r>
    <n v="14389"/>
    <x v="0"/>
    <x v="1"/>
    <n v="60000"/>
    <n v="2"/>
    <x v="0"/>
    <s v="Management"/>
    <s v="Yes"/>
    <n v="0"/>
    <x v="1"/>
    <x v="2"/>
    <x v="14"/>
    <x v="1"/>
    <x v="0"/>
    <m/>
  </r>
  <r>
    <n v="18050"/>
    <x v="0"/>
    <x v="0"/>
    <n v="60000"/>
    <n v="1"/>
    <x v="1"/>
    <s v="Skilled Manual"/>
    <s v="Yes"/>
    <n v="1"/>
    <x v="0"/>
    <x v="2"/>
    <x v="12"/>
    <x v="0"/>
    <x v="1"/>
    <m/>
  </r>
  <r>
    <n v="19856"/>
    <x v="0"/>
    <x v="0"/>
    <n v="60000"/>
    <n v="4"/>
    <x v="0"/>
    <s v="Management"/>
    <s v="Yes"/>
    <n v="2"/>
    <x v="1"/>
    <x v="2"/>
    <x v="2"/>
    <x v="1"/>
    <x v="0"/>
    <m/>
  </r>
  <r>
    <n v="11663"/>
    <x v="0"/>
    <x v="1"/>
    <n v="70000"/>
    <n v="4"/>
    <x v="4"/>
    <s v="Professional"/>
    <s v="Yes"/>
    <n v="0"/>
    <x v="0"/>
    <x v="2"/>
    <x v="4"/>
    <x v="0"/>
    <x v="1"/>
    <m/>
  </r>
  <r>
    <n v="27740"/>
    <x v="0"/>
    <x v="0"/>
    <n v="40000"/>
    <n v="0"/>
    <x v="2"/>
    <s v="Skilled Manual"/>
    <s v="Yes"/>
    <n v="2"/>
    <x v="2"/>
    <x v="2"/>
    <x v="40"/>
    <x v="2"/>
    <x v="0"/>
    <m/>
  </r>
  <r>
    <n v="23455"/>
    <x v="1"/>
    <x v="1"/>
    <n v="80000"/>
    <n v="2"/>
    <x v="3"/>
    <s v="Skilled Manual"/>
    <s v="No"/>
    <n v="2"/>
    <x v="3"/>
    <x v="2"/>
    <x v="5"/>
    <x v="0"/>
    <x v="0"/>
    <m/>
  </r>
  <r>
    <n v="15292"/>
    <x v="1"/>
    <x v="0"/>
    <n v="60000"/>
    <n v="1"/>
    <x v="4"/>
    <s v="Skilled Manual"/>
    <s v="Yes"/>
    <n v="0"/>
    <x v="3"/>
    <x v="2"/>
    <x v="11"/>
    <x v="0"/>
    <x v="0"/>
    <m/>
  </r>
  <r>
    <n v="21587"/>
    <x v="0"/>
    <x v="0"/>
    <n v="60000"/>
    <n v="1"/>
    <x v="4"/>
    <s v="Skilled Manual"/>
    <s v="Yes"/>
    <n v="0"/>
    <x v="1"/>
    <x v="2"/>
    <x v="17"/>
    <x v="0"/>
    <x v="1"/>
    <m/>
  </r>
  <r>
    <n v="23513"/>
    <x v="0"/>
    <x v="0"/>
    <n v="40000"/>
    <n v="3"/>
    <x v="1"/>
    <s v="Professional"/>
    <s v="Yes"/>
    <n v="2"/>
    <x v="2"/>
    <x v="2"/>
    <x v="9"/>
    <x v="0"/>
    <x v="0"/>
    <m/>
  </r>
  <r>
    <n v="24322"/>
    <x v="0"/>
    <x v="0"/>
    <n v="60000"/>
    <n v="4"/>
    <x v="0"/>
    <s v="Skilled Manual"/>
    <s v="No"/>
    <n v="2"/>
    <x v="0"/>
    <x v="2"/>
    <x v="0"/>
    <x v="0"/>
    <x v="0"/>
    <m/>
  </r>
  <r>
    <n v="26298"/>
    <x v="0"/>
    <x v="0"/>
    <n v="50000"/>
    <n v="1"/>
    <x v="0"/>
    <s v="Skilled Manual"/>
    <s v="Yes"/>
    <n v="0"/>
    <x v="1"/>
    <x v="2"/>
    <x v="17"/>
    <x v="0"/>
    <x v="1"/>
    <m/>
  </r>
  <r>
    <n v="25419"/>
    <x v="1"/>
    <x v="1"/>
    <n v="50000"/>
    <n v="2"/>
    <x v="0"/>
    <s v="Skilled Manual"/>
    <s v="No"/>
    <n v="1"/>
    <x v="0"/>
    <x v="2"/>
    <x v="13"/>
    <x v="0"/>
    <x v="1"/>
    <m/>
  </r>
  <r>
    <n v="13343"/>
    <x v="0"/>
    <x v="0"/>
    <n v="90000"/>
    <n v="5"/>
    <x v="0"/>
    <s v="Management"/>
    <s v="Yes"/>
    <n v="2"/>
    <x v="3"/>
    <x v="2"/>
    <x v="18"/>
    <x v="1"/>
    <x v="1"/>
    <m/>
  </r>
  <r>
    <n v="11303"/>
    <x v="1"/>
    <x v="0"/>
    <n v="90000"/>
    <n v="4"/>
    <x v="2"/>
    <s v="Professional"/>
    <s v="No"/>
    <n v="3"/>
    <x v="3"/>
    <x v="2"/>
    <x v="12"/>
    <x v="0"/>
    <x v="1"/>
    <m/>
  </r>
  <r>
    <n v="21693"/>
    <x v="1"/>
    <x v="0"/>
    <n v="60000"/>
    <n v="0"/>
    <x v="4"/>
    <s v="Skilled Manual"/>
    <s v="No"/>
    <n v="0"/>
    <x v="0"/>
    <x v="2"/>
    <x v="8"/>
    <x v="0"/>
    <x v="0"/>
    <m/>
  </r>
  <r>
    <n v="28056"/>
    <x v="0"/>
    <x v="1"/>
    <n v="70000"/>
    <n v="2"/>
    <x v="3"/>
    <s v="Skilled Manual"/>
    <s v="Yes"/>
    <n v="2"/>
    <x v="4"/>
    <x v="2"/>
    <x v="39"/>
    <x v="0"/>
    <x v="0"/>
    <m/>
  </r>
  <r>
    <n v="11788"/>
    <x v="1"/>
    <x v="0"/>
    <n v="70000"/>
    <n v="1"/>
    <x v="4"/>
    <s v="Professional"/>
    <s v="Yes"/>
    <n v="0"/>
    <x v="1"/>
    <x v="2"/>
    <x v="17"/>
    <x v="0"/>
    <x v="0"/>
    <m/>
  </r>
  <r>
    <n v="22296"/>
    <x v="0"/>
    <x v="1"/>
    <n v="70000"/>
    <n v="0"/>
    <x v="0"/>
    <s v="Professional"/>
    <s v="No"/>
    <n v="1"/>
    <x v="0"/>
    <x v="2"/>
    <x v="13"/>
    <x v="0"/>
    <x v="0"/>
    <m/>
  </r>
  <r>
    <n v="15319"/>
    <x v="0"/>
    <x v="0"/>
    <n v="70000"/>
    <n v="4"/>
    <x v="0"/>
    <s v="Management"/>
    <s v="No"/>
    <n v="1"/>
    <x v="3"/>
    <x v="2"/>
    <x v="14"/>
    <x v="1"/>
    <x v="0"/>
    <m/>
  </r>
  <r>
    <n v="17654"/>
    <x v="1"/>
    <x v="0"/>
    <n v="40000"/>
    <n v="3"/>
    <x v="1"/>
    <s v="Clerical"/>
    <s v="Yes"/>
    <n v="1"/>
    <x v="3"/>
    <x v="2"/>
    <x v="25"/>
    <x v="2"/>
    <x v="1"/>
    <m/>
  </r>
  <r>
    <n v="14662"/>
    <x v="0"/>
    <x v="1"/>
    <n v="60000"/>
    <n v="1"/>
    <x v="0"/>
    <s v="Professional"/>
    <s v="Yes"/>
    <n v="1"/>
    <x v="0"/>
    <x v="2"/>
    <x v="28"/>
    <x v="0"/>
    <x v="1"/>
    <m/>
  </r>
  <r>
    <n v="17541"/>
    <x v="0"/>
    <x v="0"/>
    <n v="40000"/>
    <n v="4"/>
    <x v="2"/>
    <s v="Skilled Manual"/>
    <s v="Yes"/>
    <n v="2"/>
    <x v="1"/>
    <x v="2"/>
    <x v="1"/>
    <x v="0"/>
    <x v="0"/>
    <m/>
  </r>
  <r>
    <n v="13886"/>
    <x v="0"/>
    <x v="0"/>
    <n v="70000"/>
    <n v="4"/>
    <x v="4"/>
    <s v="Professional"/>
    <s v="Yes"/>
    <n v="0"/>
    <x v="1"/>
    <x v="2"/>
    <x v="11"/>
    <x v="0"/>
    <x v="1"/>
    <m/>
  </r>
  <r>
    <n v="13073"/>
    <x v="0"/>
    <x v="0"/>
    <n v="60000"/>
    <n v="0"/>
    <x v="1"/>
    <s v="Professional"/>
    <s v="Yes"/>
    <n v="2"/>
    <x v="2"/>
    <x v="2"/>
    <x v="25"/>
    <x v="2"/>
    <x v="0"/>
    <m/>
  </r>
  <r>
    <n v="21940"/>
    <x v="0"/>
    <x v="1"/>
    <n v="90000"/>
    <n v="5"/>
    <x v="4"/>
    <s v="Professional"/>
    <s v="Yes"/>
    <n v="0"/>
    <x v="0"/>
    <x v="2"/>
    <x v="15"/>
    <x v="0"/>
    <x v="1"/>
    <m/>
  </r>
  <r>
    <n v="20196"/>
    <x v="0"/>
    <x v="1"/>
    <n v="60000"/>
    <n v="1"/>
    <x v="1"/>
    <s v="Skilled Manual"/>
    <s v="Yes"/>
    <n v="1"/>
    <x v="1"/>
    <x v="2"/>
    <x v="12"/>
    <x v="0"/>
    <x v="1"/>
    <m/>
  </r>
  <r>
    <n v="23491"/>
    <x v="1"/>
    <x v="1"/>
    <n v="100000"/>
    <n v="0"/>
    <x v="1"/>
    <s v="Professional"/>
    <s v="No"/>
    <n v="4"/>
    <x v="3"/>
    <x v="2"/>
    <x v="12"/>
    <x v="0"/>
    <x v="0"/>
    <m/>
  </r>
  <r>
    <n v="16651"/>
    <x v="0"/>
    <x v="0"/>
    <n v="120000"/>
    <n v="2"/>
    <x v="0"/>
    <s v="Management"/>
    <s v="Yes"/>
    <n v="3"/>
    <x v="2"/>
    <x v="2"/>
    <x v="24"/>
    <x v="1"/>
    <x v="0"/>
    <m/>
  </r>
  <r>
    <n v="16813"/>
    <x v="0"/>
    <x v="1"/>
    <n v="60000"/>
    <n v="2"/>
    <x v="1"/>
    <s v="Professional"/>
    <s v="Yes"/>
    <n v="2"/>
    <x v="4"/>
    <x v="2"/>
    <x v="10"/>
    <x v="1"/>
    <x v="0"/>
    <m/>
  </r>
  <r>
    <n v="16007"/>
    <x v="0"/>
    <x v="0"/>
    <n v="90000"/>
    <n v="5"/>
    <x v="0"/>
    <s v="Management"/>
    <s v="Yes"/>
    <n v="2"/>
    <x v="3"/>
    <x v="2"/>
    <x v="29"/>
    <x v="1"/>
    <x v="1"/>
    <m/>
  </r>
  <r>
    <n v="27434"/>
    <x v="1"/>
    <x v="1"/>
    <n v="70000"/>
    <n v="4"/>
    <x v="1"/>
    <s v="Professional"/>
    <s v="Yes"/>
    <n v="1"/>
    <x v="4"/>
    <x v="2"/>
    <x v="16"/>
    <x v="1"/>
    <x v="0"/>
    <m/>
  </r>
  <r>
    <n v="27756"/>
    <x v="1"/>
    <x v="0"/>
    <n v="50000"/>
    <n v="3"/>
    <x v="0"/>
    <s v="Skilled Manual"/>
    <s v="No"/>
    <n v="1"/>
    <x v="0"/>
    <x v="2"/>
    <x v="8"/>
    <x v="0"/>
    <x v="0"/>
    <m/>
  </r>
  <r>
    <n v="23818"/>
    <x v="0"/>
    <x v="0"/>
    <n v="50000"/>
    <n v="0"/>
    <x v="4"/>
    <s v="Skilled Manual"/>
    <s v="Yes"/>
    <n v="0"/>
    <x v="3"/>
    <x v="2"/>
    <x v="6"/>
    <x v="0"/>
    <x v="1"/>
    <m/>
  </r>
  <r>
    <n v="19012"/>
    <x v="0"/>
    <x v="1"/>
    <n v="80000"/>
    <n v="3"/>
    <x v="0"/>
    <s v="Management"/>
    <s v="Yes"/>
    <n v="1"/>
    <x v="3"/>
    <x v="2"/>
    <x v="16"/>
    <x v="1"/>
    <x v="0"/>
    <m/>
  </r>
  <r>
    <n v="18329"/>
    <x v="1"/>
    <x v="1"/>
    <n v="30000"/>
    <n v="0"/>
    <x v="3"/>
    <s v="Clerical"/>
    <s v="No"/>
    <n v="2"/>
    <x v="2"/>
    <x v="2"/>
    <x v="40"/>
    <x v="2"/>
    <x v="0"/>
    <m/>
  </r>
  <r>
    <n v="29037"/>
    <x v="0"/>
    <x v="1"/>
    <n v="60000"/>
    <n v="0"/>
    <x v="4"/>
    <s v="Professional"/>
    <s v="No"/>
    <n v="0"/>
    <x v="0"/>
    <x v="2"/>
    <x v="32"/>
    <x v="0"/>
    <x v="0"/>
    <m/>
  </r>
  <r>
    <n v="26576"/>
    <x v="0"/>
    <x v="0"/>
    <n v="60000"/>
    <n v="0"/>
    <x v="1"/>
    <s v="Skilled Manual"/>
    <s v="Yes"/>
    <n v="2"/>
    <x v="2"/>
    <x v="2"/>
    <x v="23"/>
    <x v="0"/>
    <x v="0"/>
    <m/>
  </r>
  <r>
    <n v="12192"/>
    <x v="1"/>
    <x v="0"/>
    <n v="60000"/>
    <n v="2"/>
    <x v="3"/>
    <s v="Skilled Manual"/>
    <s v="No"/>
    <n v="2"/>
    <x v="3"/>
    <x v="2"/>
    <x v="36"/>
    <x v="0"/>
    <x v="0"/>
    <m/>
  </r>
  <r>
    <n v="14887"/>
    <x v="0"/>
    <x v="0"/>
    <n v="30000"/>
    <n v="1"/>
    <x v="2"/>
    <s v="Clerical"/>
    <s v="Yes"/>
    <n v="1"/>
    <x v="2"/>
    <x v="2"/>
    <x v="31"/>
    <x v="0"/>
    <x v="0"/>
    <m/>
  </r>
  <r>
    <n v="11734"/>
    <x v="0"/>
    <x v="1"/>
    <n v="60000"/>
    <n v="1"/>
    <x v="1"/>
    <s v="Skilled Manual"/>
    <s v="No"/>
    <n v="1"/>
    <x v="0"/>
    <x v="2"/>
    <x v="15"/>
    <x v="0"/>
    <x v="0"/>
    <m/>
  </r>
  <r>
    <n v="17462"/>
    <x v="0"/>
    <x v="1"/>
    <n v="70000"/>
    <n v="3"/>
    <x v="4"/>
    <s v="Management"/>
    <s v="Yes"/>
    <n v="2"/>
    <x v="2"/>
    <x v="2"/>
    <x v="39"/>
    <x v="0"/>
    <x v="1"/>
    <m/>
  </r>
  <r>
    <n v="20659"/>
    <x v="0"/>
    <x v="1"/>
    <n v="70000"/>
    <n v="3"/>
    <x v="4"/>
    <s v="Professional"/>
    <s v="Yes"/>
    <n v="0"/>
    <x v="0"/>
    <x v="2"/>
    <x v="11"/>
    <x v="0"/>
    <x v="1"/>
    <m/>
  </r>
  <r>
    <n v="28004"/>
    <x v="0"/>
    <x v="0"/>
    <n v="60000"/>
    <n v="3"/>
    <x v="0"/>
    <s v="Management"/>
    <s v="Yes"/>
    <n v="2"/>
    <x v="4"/>
    <x v="2"/>
    <x v="29"/>
    <x v="1"/>
    <x v="0"/>
    <m/>
  </r>
  <r>
    <n v="19741"/>
    <x v="1"/>
    <x v="0"/>
    <n v="80000"/>
    <n v="4"/>
    <x v="4"/>
    <s v="Management"/>
    <s v="Yes"/>
    <n v="2"/>
    <x v="2"/>
    <x v="2"/>
    <x v="27"/>
    <x v="1"/>
    <x v="0"/>
    <m/>
  </r>
  <r>
    <n v="17450"/>
    <x v="0"/>
    <x v="1"/>
    <n v="80000"/>
    <n v="5"/>
    <x v="1"/>
    <s v="Professional"/>
    <s v="Yes"/>
    <n v="3"/>
    <x v="2"/>
    <x v="2"/>
    <x v="12"/>
    <x v="0"/>
    <x v="0"/>
    <m/>
  </r>
  <r>
    <n v="17337"/>
    <x v="1"/>
    <x v="1"/>
    <n v="40000"/>
    <n v="0"/>
    <x v="2"/>
    <s v="Skilled Manual"/>
    <s v="Yes"/>
    <n v="1"/>
    <x v="2"/>
    <x v="2"/>
    <x v="23"/>
    <x v="0"/>
    <x v="0"/>
    <m/>
  </r>
  <r>
    <n v="18594"/>
    <x v="1"/>
    <x v="0"/>
    <n v="80000"/>
    <n v="3"/>
    <x v="0"/>
    <s v="Skilled Manual"/>
    <s v="Yes"/>
    <n v="3"/>
    <x v="4"/>
    <x v="2"/>
    <x v="8"/>
    <x v="0"/>
    <x v="1"/>
    <m/>
  </r>
  <r>
    <n v="15982"/>
    <x v="0"/>
    <x v="1"/>
    <n v="110000"/>
    <n v="5"/>
    <x v="1"/>
    <s v="Professional"/>
    <s v="Yes"/>
    <n v="4"/>
    <x v="1"/>
    <x v="2"/>
    <x v="30"/>
    <x v="0"/>
    <x v="0"/>
    <m/>
  </r>
  <r>
    <n v="28625"/>
    <x v="1"/>
    <x v="1"/>
    <n v="40000"/>
    <n v="2"/>
    <x v="1"/>
    <s v="Clerical"/>
    <s v="No"/>
    <n v="1"/>
    <x v="3"/>
    <x v="2"/>
    <x v="15"/>
    <x v="0"/>
    <x v="1"/>
    <m/>
  </r>
  <r>
    <n v="11269"/>
    <x v="0"/>
    <x v="1"/>
    <n v="130000"/>
    <n v="2"/>
    <x v="4"/>
    <s v="Management"/>
    <s v="Yes"/>
    <n v="2"/>
    <x v="0"/>
    <x v="2"/>
    <x v="3"/>
    <x v="0"/>
    <x v="0"/>
    <m/>
  </r>
  <r>
    <n v="25148"/>
    <x v="0"/>
    <x v="1"/>
    <n v="60000"/>
    <n v="2"/>
    <x v="2"/>
    <s v="Professional"/>
    <s v="No"/>
    <n v="2"/>
    <x v="3"/>
    <x v="2"/>
    <x v="28"/>
    <x v="0"/>
    <x v="1"/>
    <m/>
  </r>
  <r>
    <n v="13920"/>
    <x v="1"/>
    <x v="0"/>
    <n v="50000"/>
    <n v="4"/>
    <x v="0"/>
    <s v="Skilled Manual"/>
    <s v="Yes"/>
    <n v="2"/>
    <x v="0"/>
    <x v="2"/>
    <x v="0"/>
    <x v="0"/>
    <x v="0"/>
    <m/>
  </r>
  <r>
    <n v="23704"/>
    <x v="1"/>
    <x v="1"/>
    <n v="40000"/>
    <n v="5"/>
    <x v="2"/>
    <s v="Professional"/>
    <s v="Yes"/>
    <n v="4"/>
    <x v="4"/>
    <x v="2"/>
    <x v="2"/>
    <x v="1"/>
    <x v="1"/>
    <m/>
  </r>
  <r>
    <n v="28972"/>
    <x v="1"/>
    <x v="0"/>
    <n v="60000"/>
    <n v="3"/>
    <x v="4"/>
    <s v="Management"/>
    <s v="Yes"/>
    <n v="2"/>
    <x v="4"/>
    <x v="2"/>
    <x v="29"/>
    <x v="1"/>
    <x v="0"/>
    <m/>
  </r>
  <r>
    <n v="22730"/>
    <x v="0"/>
    <x v="1"/>
    <n v="70000"/>
    <n v="5"/>
    <x v="0"/>
    <s v="Management"/>
    <s v="Yes"/>
    <n v="2"/>
    <x v="4"/>
    <x v="2"/>
    <x v="18"/>
    <x v="1"/>
    <x v="0"/>
    <m/>
  </r>
  <r>
    <n v="29134"/>
    <x v="0"/>
    <x v="1"/>
    <n v="60000"/>
    <n v="4"/>
    <x v="0"/>
    <s v="Skilled Manual"/>
    <s v="No"/>
    <n v="3"/>
    <x v="4"/>
    <x v="2"/>
    <x v="0"/>
    <x v="0"/>
    <x v="0"/>
    <m/>
  </r>
  <r>
    <n v="14332"/>
    <x v="1"/>
    <x v="0"/>
    <n v="30000"/>
    <n v="0"/>
    <x v="2"/>
    <s v="Skilled Manual"/>
    <s v="No"/>
    <n v="2"/>
    <x v="2"/>
    <x v="2"/>
    <x v="22"/>
    <x v="2"/>
    <x v="0"/>
    <m/>
  </r>
  <r>
    <n v="19117"/>
    <x v="1"/>
    <x v="0"/>
    <n v="60000"/>
    <n v="1"/>
    <x v="4"/>
    <s v="Professional"/>
    <s v="Yes"/>
    <n v="0"/>
    <x v="1"/>
    <x v="2"/>
    <x v="4"/>
    <x v="0"/>
    <x v="1"/>
    <m/>
  </r>
  <r>
    <n v="22864"/>
    <x v="0"/>
    <x v="1"/>
    <n v="90000"/>
    <n v="2"/>
    <x v="1"/>
    <s v="Professional"/>
    <s v="No"/>
    <n v="0"/>
    <x v="2"/>
    <x v="2"/>
    <x v="38"/>
    <x v="0"/>
    <x v="1"/>
    <m/>
  </r>
  <r>
    <n v="11292"/>
    <x v="1"/>
    <x v="1"/>
    <n v="150000"/>
    <n v="1"/>
    <x v="1"/>
    <s v="Professional"/>
    <s v="No"/>
    <n v="3"/>
    <x v="0"/>
    <x v="2"/>
    <x v="20"/>
    <x v="0"/>
    <x v="1"/>
    <m/>
  </r>
  <r>
    <n v="13466"/>
    <x v="0"/>
    <x v="1"/>
    <n v="80000"/>
    <n v="5"/>
    <x v="1"/>
    <s v="Professional"/>
    <s v="Yes"/>
    <n v="3"/>
    <x v="3"/>
    <x v="2"/>
    <x v="30"/>
    <x v="0"/>
    <x v="0"/>
    <m/>
  </r>
  <r>
    <n v="23731"/>
    <x v="0"/>
    <x v="1"/>
    <n v="60000"/>
    <n v="2"/>
    <x v="2"/>
    <s v="Professional"/>
    <s v="Yes"/>
    <n v="2"/>
    <x v="1"/>
    <x v="2"/>
    <x v="9"/>
    <x v="0"/>
    <x v="1"/>
    <m/>
  </r>
  <r>
    <n v="28672"/>
    <x v="1"/>
    <x v="1"/>
    <n v="70000"/>
    <n v="4"/>
    <x v="4"/>
    <s v="Professional"/>
    <s v="Yes"/>
    <n v="0"/>
    <x v="1"/>
    <x v="2"/>
    <x v="11"/>
    <x v="0"/>
    <x v="1"/>
    <m/>
  </r>
  <r>
    <n v="11809"/>
    <x v="0"/>
    <x v="1"/>
    <n v="60000"/>
    <n v="2"/>
    <x v="0"/>
    <s v="Skilled Manual"/>
    <s v="Yes"/>
    <n v="0"/>
    <x v="0"/>
    <x v="2"/>
    <x v="13"/>
    <x v="0"/>
    <x v="1"/>
    <m/>
  </r>
  <r>
    <n v="19664"/>
    <x v="1"/>
    <x v="1"/>
    <n v="100000"/>
    <n v="3"/>
    <x v="0"/>
    <s v="Management"/>
    <s v="No"/>
    <n v="3"/>
    <x v="3"/>
    <x v="2"/>
    <x v="13"/>
    <x v="0"/>
    <x v="0"/>
    <m/>
  </r>
  <r>
    <n v="12121"/>
    <x v="1"/>
    <x v="1"/>
    <n v="60000"/>
    <n v="3"/>
    <x v="2"/>
    <s v="Professional"/>
    <s v="Yes"/>
    <n v="2"/>
    <x v="4"/>
    <x v="2"/>
    <x v="39"/>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5D921-5949-402E-BCC0-10E69423077B}"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8:D123"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x="2"/>
        <item x="0"/>
        <item x="1"/>
        <item m="1" x="3"/>
        <item m="1" x="4"/>
        <item m="1" x="5"/>
        <item t="default"/>
      </items>
    </pivotField>
    <pivotField axis="axisCol" dataField="1" showAll="0">
      <items count="3">
        <item x="0"/>
        <item x="1"/>
        <item t="default"/>
      </items>
    </pivotField>
    <pivotField showAll="0"/>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C9D19-3516-4437-96B0-9ADECE0B0E9F}"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 showAl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C4DFA-61D4-4CED-A19D-BDA4A9018FE7}"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 showAll="0"/>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F310D-C105-479D-A5F2-51275B2CC0C4}"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F656BA8-5BDA-4699-AE2A-70BF35E2D45C}" sourceName="Marital Status">
  <pivotTables>
    <pivotTable tabId="3" name="PivotTable1"/>
    <pivotTable tabId="3" name="PivotTable2"/>
    <pivotTable tabId="3" name="PivotTable3"/>
    <pivotTable tabId="3" name="PivotTable4"/>
  </pivotTables>
  <data>
    <tabular pivotCacheId="1485791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044203E-22F3-4C26-8744-AF58D18A31FE}" sourceName="Education">
  <pivotTables>
    <pivotTable tabId="3" name="PivotTable1"/>
    <pivotTable tabId="3" name="PivotTable2"/>
    <pivotTable tabId="3" name="PivotTable3"/>
    <pivotTable tabId="3" name="PivotTable4"/>
  </pivotTables>
  <data>
    <tabular pivotCacheId="1485791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C0322E-53E7-49AA-893A-194276B71D4F}" sourceName="Region">
  <pivotTables>
    <pivotTable tabId="3" name="PivotTable1"/>
    <pivotTable tabId="3" name="PivotTable2"/>
    <pivotTable tabId="3" name="PivotTable3"/>
    <pivotTable tabId="3" name="PivotTable4"/>
  </pivotTables>
  <data>
    <tabular pivotCacheId="1485791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DA405EB-4831-4A41-B2EB-72A49B7A543F}" cache="Slicer_Marital_Status" caption="Marital Status" rowHeight="241300"/>
  <slicer name="Education" xr10:uid="{02547AB7-CE26-48A9-AC13-348CEDDB04F9}" cache="Slicer_Education" caption="Education" rowHeight="241300"/>
  <slicer name="Region" xr10:uid="{99AB8421-2DB0-43B7-8201-6802B984AC3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XFD1048576"/>
    </sheetView>
  </sheetViews>
  <sheetFormatPr defaultColWidth="11.85546875" defaultRowHeight="15" x14ac:dyDescent="0.25"/>
  <cols>
    <col min="13" max="13" width="15.42578125" customWidth="1"/>
  </cols>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v>12496</v>
      </c>
      <c r="B2" t="s">
        <v>34</v>
      </c>
      <c r="C2" t="s">
        <v>33</v>
      </c>
      <c r="D2" s="1">
        <v>40000</v>
      </c>
      <c r="E2">
        <v>1</v>
      </c>
      <c r="F2" t="s">
        <v>13</v>
      </c>
      <c r="G2" t="s">
        <v>14</v>
      </c>
      <c r="H2" t="s">
        <v>15</v>
      </c>
      <c r="I2">
        <v>0</v>
      </c>
      <c r="J2" t="s">
        <v>16</v>
      </c>
      <c r="K2" t="s">
        <v>17</v>
      </c>
      <c r="L2">
        <v>42</v>
      </c>
      <c r="M2" t="s">
        <v>18</v>
      </c>
    </row>
    <row r="3" spans="1:14" x14ac:dyDescent="0.25">
      <c r="A3">
        <v>24107</v>
      </c>
      <c r="B3" t="s">
        <v>34</v>
      </c>
      <c r="C3" t="s">
        <v>34</v>
      </c>
      <c r="D3" s="1">
        <v>30000</v>
      </c>
      <c r="E3">
        <v>3</v>
      </c>
      <c r="F3" t="s">
        <v>19</v>
      </c>
      <c r="G3" t="s">
        <v>20</v>
      </c>
      <c r="H3" t="s">
        <v>15</v>
      </c>
      <c r="I3">
        <v>1</v>
      </c>
      <c r="J3" t="s">
        <v>16</v>
      </c>
      <c r="K3" t="s">
        <v>17</v>
      </c>
      <c r="L3">
        <v>43</v>
      </c>
      <c r="M3" t="s">
        <v>18</v>
      </c>
    </row>
    <row r="4" spans="1:14" x14ac:dyDescent="0.25">
      <c r="A4">
        <v>14177</v>
      </c>
      <c r="B4" t="s">
        <v>34</v>
      </c>
      <c r="C4" t="s">
        <v>34</v>
      </c>
      <c r="D4" s="1">
        <v>80000</v>
      </c>
      <c r="E4">
        <v>5</v>
      </c>
      <c r="F4" t="s">
        <v>19</v>
      </c>
      <c r="G4" t="s">
        <v>21</v>
      </c>
      <c r="H4" t="s">
        <v>18</v>
      </c>
      <c r="I4">
        <v>2</v>
      </c>
      <c r="J4" t="s">
        <v>22</v>
      </c>
      <c r="K4" t="s">
        <v>17</v>
      </c>
      <c r="L4">
        <v>60</v>
      </c>
      <c r="M4" t="s">
        <v>18</v>
      </c>
    </row>
    <row r="5" spans="1:14" x14ac:dyDescent="0.25">
      <c r="A5">
        <v>24381</v>
      </c>
      <c r="B5" t="s">
        <v>35</v>
      </c>
      <c r="C5" t="s">
        <v>34</v>
      </c>
      <c r="D5" s="1">
        <v>70000</v>
      </c>
      <c r="E5">
        <v>0</v>
      </c>
      <c r="F5" t="s">
        <v>13</v>
      </c>
      <c r="G5" t="s">
        <v>21</v>
      </c>
      <c r="H5" t="s">
        <v>15</v>
      </c>
      <c r="I5">
        <v>1</v>
      </c>
      <c r="J5" t="s">
        <v>23</v>
      </c>
      <c r="K5" t="s">
        <v>24</v>
      </c>
      <c r="L5">
        <v>41</v>
      </c>
      <c r="M5" t="s">
        <v>15</v>
      </c>
      <c r="N5" t="s">
        <v>36</v>
      </c>
    </row>
    <row r="6" spans="1:14" x14ac:dyDescent="0.25">
      <c r="A6">
        <v>25597</v>
      </c>
      <c r="B6" t="s">
        <v>35</v>
      </c>
      <c r="C6" t="s">
        <v>34</v>
      </c>
      <c r="D6" s="1">
        <v>30000</v>
      </c>
      <c r="E6">
        <v>0</v>
      </c>
      <c r="F6" t="s">
        <v>13</v>
      </c>
      <c r="G6" t="s">
        <v>20</v>
      </c>
      <c r="H6" t="s">
        <v>18</v>
      </c>
      <c r="I6">
        <v>0</v>
      </c>
      <c r="J6" t="s">
        <v>16</v>
      </c>
      <c r="K6" t="s">
        <v>17</v>
      </c>
      <c r="L6">
        <v>36</v>
      </c>
      <c r="M6" t="s">
        <v>15</v>
      </c>
    </row>
    <row r="7" spans="1:14" x14ac:dyDescent="0.25">
      <c r="A7">
        <v>13507</v>
      </c>
      <c r="B7" t="s">
        <v>34</v>
      </c>
      <c r="C7" t="s">
        <v>33</v>
      </c>
      <c r="D7" s="1">
        <v>10000</v>
      </c>
      <c r="E7">
        <v>2</v>
      </c>
      <c r="F7" t="s">
        <v>19</v>
      </c>
      <c r="G7" t="s">
        <v>25</v>
      </c>
      <c r="H7" t="s">
        <v>15</v>
      </c>
      <c r="I7">
        <v>0</v>
      </c>
      <c r="J7" t="s">
        <v>26</v>
      </c>
      <c r="K7" t="s">
        <v>17</v>
      </c>
      <c r="L7">
        <v>50</v>
      </c>
      <c r="M7" t="s">
        <v>18</v>
      </c>
    </row>
    <row r="8" spans="1:14" x14ac:dyDescent="0.25">
      <c r="A8">
        <v>27974</v>
      </c>
      <c r="B8" t="s">
        <v>35</v>
      </c>
      <c r="C8" t="s">
        <v>34</v>
      </c>
      <c r="D8" s="1">
        <v>160000</v>
      </c>
      <c r="E8">
        <v>2</v>
      </c>
      <c r="F8" t="s">
        <v>27</v>
      </c>
      <c r="G8" t="s">
        <v>28</v>
      </c>
      <c r="H8" t="s">
        <v>15</v>
      </c>
      <c r="I8">
        <v>4</v>
      </c>
      <c r="J8" t="s">
        <v>16</v>
      </c>
      <c r="K8" t="s">
        <v>24</v>
      </c>
      <c r="L8">
        <v>33</v>
      </c>
      <c r="M8" t="s">
        <v>15</v>
      </c>
    </row>
    <row r="9" spans="1:14" x14ac:dyDescent="0.25">
      <c r="A9">
        <v>19364</v>
      </c>
      <c r="B9" t="s">
        <v>34</v>
      </c>
      <c r="C9" t="s">
        <v>34</v>
      </c>
      <c r="D9" s="1">
        <v>40000</v>
      </c>
      <c r="E9">
        <v>1</v>
      </c>
      <c r="F9" t="s">
        <v>13</v>
      </c>
      <c r="G9" t="s">
        <v>14</v>
      </c>
      <c r="H9" t="s">
        <v>15</v>
      </c>
      <c r="I9">
        <v>0</v>
      </c>
      <c r="J9" t="s">
        <v>16</v>
      </c>
      <c r="K9" t="s">
        <v>17</v>
      </c>
      <c r="L9">
        <v>43</v>
      </c>
      <c r="M9" t="s">
        <v>15</v>
      </c>
    </row>
    <row r="10" spans="1:14" x14ac:dyDescent="0.25">
      <c r="A10">
        <v>22155</v>
      </c>
      <c r="B10" t="s">
        <v>34</v>
      </c>
      <c r="C10" t="s">
        <v>34</v>
      </c>
      <c r="D10" s="1">
        <v>20000</v>
      </c>
      <c r="E10">
        <v>2</v>
      </c>
      <c r="F10" t="s">
        <v>29</v>
      </c>
      <c r="G10" t="s">
        <v>20</v>
      </c>
      <c r="H10" t="s">
        <v>15</v>
      </c>
      <c r="I10">
        <v>2</v>
      </c>
      <c r="J10" t="s">
        <v>23</v>
      </c>
      <c r="K10" t="s">
        <v>24</v>
      </c>
      <c r="L10">
        <v>58</v>
      </c>
      <c r="M10" t="s">
        <v>18</v>
      </c>
    </row>
    <row r="11" spans="1:14" x14ac:dyDescent="0.25">
      <c r="A11">
        <v>19280</v>
      </c>
      <c r="B11" t="s">
        <v>34</v>
      </c>
      <c r="C11" t="s">
        <v>34</v>
      </c>
      <c r="D11" s="1">
        <v>120000</v>
      </c>
      <c r="E11">
        <v>2</v>
      </c>
      <c r="F11" t="s">
        <v>19</v>
      </c>
      <c r="G11" t="s">
        <v>25</v>
      </c>
      <c r="H11" t="s">
        <v>15</v>
      </c>
      <c r="I11">
        <v>1</v>
      </c>
      <c r="J11" t="s">
        <v>16</v>
      </c>
      <c r="K11" t="s">
        <v>17</v>
      </c>
      <c r="L11">
        <v>40</v>
      </c>
      <c r="M11" t="s">
        <v>15</v>
      </c>
    </row>
    <row r="12" spans="1:14" x14ac:dyDescent="0.25">
      <c r="A12">
        <v>22173</v>
      </c>
      <c r="B12" t="s">
        <v>34</v>
      </c>
      <c r="C12" t="s">
        <v>33</v>
      </c>
      <c r="D12" s="1">
        <v>30000</v>
      </c>
      <c r="E12">
        <v>3</v>
      </c>
      <c r="F12" t="s">
        <v>27</v>
      </c>
      <c r="G12" t="s">
        <v>14</v>
      </c>
      <c r="H12" t="s">
        <v>18</v>
      </c>
      <c r="I12">
        <v>2</v>
      </c>
      <c r="J12" t="s">
        <v>26</v>
      </c>
      <c r="K12" t="s">
        <v>24</v>
      </c>
      <c r="L12">
        <v>54</v>
      </c>
      <c r="M12" t="s">
        <v>15</v>
      </c>
    </row>
    <row r="13" spans="1:14" x14ac:dyDescent="0.25">
      <c r="A13">
        <v>12697</v>
      </c>
      <c r="B13" t="s">
        <v>35</v>
      </c>
      <c r="C13" t="s">
        <v>33</v>
      </c>
      <c r="D13" s="1">
        <v>90000</v>
      </c>
      <c r="E13">
        <v>0</v>
      </c>
      <c r="F13" t="s">
        <v>13</v>
      </c>
      <c r="G13" t="s">
        <v>21</v>
      </c>
      <c r="H13" t="s">
        <v>18</v>
      </c>
      <c r="I13">
        <v>4</v>
      </c>
      <c r="J13" t="s">
        <v>30</v>
      </c>
      <c r="K13" t="s">
        <v>24</v>
      </c>
      <c r="L13">
        <v>36</v>
      </c>
      <c r="M13" t="s">
        <v>18</v>
      </c>
    </row>
    <row r="14" spans="1:14" x14ac:dyDescent="0.25">
      <c r="A14">
        <v>11434</v>
      </c>
      <c r="B14" t="s">
        <v>34</v>
      </c>
      <c r="C14" t="s">
        <v>34</v>
      </c>
      <c r="D14" s="1">
        <v>170000</v>
      </c>
      <c r="E14">
        <v>5</v>
      </c>
      <c r="F14" t="s">
        <v>19</v>
      </c>
      <c r="G14" t="s">
        <v>21</v>
      </c>
      <c r="H14" t="s">
        <v>15</v>
      </c>
      <c r="I14">
        <v>0</v>
      </c>
      <c r="J14" t="s">
        <v>16</v>
      </c>
      <c r="K14" t="s">
        <v>17</v>
      </c>
      <c r="L14">
        <v>55</v>
      </c>
      <c r="M14" t="s">
        <v>18</v>
      </c>
    </row>
    <row r="15" spans="1:14" x14ac:dyDescent="0.25">
      <c r="A15">
        <v>25323</v>
      </c>
      <c r="B15" t="s">
        <v>34</v>
      </c>
      <c r="C15" t="s">
        <v>34</v>
      </c>
      <c r="D15" s="1">
        <v>40000</v>
      </c>
      <c r="E15">
        <v>2</v>
      </c>
      <c r="F15" t="s">
        <v>19</v>
      </c>
      <c r="G15" t="s">
        <v>20</v>
      </c>
      <c r="H15" t="s">
        <v>15</v>
      </c>
      <c r="I15">
        <v>1</v>
      </c>
      <c r="J15" t="s">
        <v>26</v>
      </c>
      <c r="K15" t="s">
        <v>17</v>
      </c>
      <c r="L15">
        <v>35</v>
      </c>
      <c r="M15" t="s">
        <v>15</v>
      </c>
    </row>
    <row r="16" spans="1:14"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8263-3221-4D4C-9DE9-2B906AD5645B}">
  <dimension ref="A1:O6"/>
  <sheetViews>
    <sheetView showGridLines="0" tabSelected="1" topLeftCell="A9" zoomScale="98" zoomScaleNormal="98" workbookViewId="0">
      <selection activeCell="Q22" sqref="Q22"/>
    </sheetView>
  </sheetViews>
  <sheetFormatPr defaultRowHeight="15" x14ac:dyDescent="0.25"/>
  <sheetData>
    <row r="1" spans="1:15" x14ac:dyDescent="0.25">
      <c r="A1" s="8" t="s">
        <v>51</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239D-9B7C-48A6-A9DA-1E26BDB7A7EE}">
  <dimension ref="A3:D123"/>
  <sheetViews>
    <sheetView topLeftCell="A40" workbookViewId="0">
      <selection activeCell="B78" sqref="B78"/>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39</v>
      </c>
      <c r="B5" s="6">
        <v>53440</v>
      </c>
      <c r="C5" s="6">
        <v>55774.058577405856</v>
      </c>
      <c r="D5" s="6">
        <v>54580.777096114522</v>
      </c>
    </row>
    <row r="6" spans="1:4" x14ac:dyDescent="0.25">
      <c r="A6" s="5" t="s">
        <v>40</v>
      </c>
      <c r="B6" s="6">
        <v>56208.178438661707</v>
      </c>
      <c r="C6" s="6">
        <v>60123.966942148763</v>
      </c>
      <c r="D6" s="6">
        <v>58062.62230919765</v>
      </c>
    </row>
    <row r="7" spans="1:4" x14ac:dyDescent="0.25">
      <c r="A7" s="5" t="s">
        <v>43</v>
      </c>
      <c r="B7" s="6">
        <v>54874.759152215796</v>
      </c>
      <c r="C7" s="6">
        <v>57962.577962577961</v>
      </c>
      <c r="D7" s="6">
        <v>56360</v>
      </c>
    </row>
    <row r="20" spans="1:4" x14ac:dyDescent="0.25">
      <c r="A20" s="4" t="s">
        <v>46</v>
      </c>
      <c r="B20" s="4" t="s">
        <v>45</v>
      </c>
    </row>
    <row r="21" spans="1:4" x14ac:dyDescent="0.25">
      <c r="A21" s="4" t="s">
        <v>42</v>
      </c>
      <c r="B21" t="s">
        <v>18</v>
      </c>
      <c r="C21" t="s">
        <v>15</v>
      </c>
      <c r="D21" t="s">
        <v>43</v>
      </c>
    </row>
    <row r="22" spans="1:4" x14ac:dyDescent="0.25">
      <c r="A22" s="5" t="s">
        <v>16</v>
      </c>
      <c r="B22" s="7">
        <v>166</v>
      </c>
      <c r="C22" s="7">
        <v>200</v>
      </c>
      <c r="D22" s="7">
        <v>366</v>
      </c>
    </row>
    <row r="23" spans="1:4" x14ac:dyDescent="0.25">
      <c r="A23" s="5" t="s">
        <v>26</v>
      </c>
      <c r="B23" s="7">
        <v>92</v>
      </c>
      <c r="C23" s="7">
        <v>77</v>
      </c>
      <c r="D23" s="7">
        <v>169</v>
      </c>
    </row>
    <row r="24" spans="1:4" x14ac:dyDescent="0.25">
      <c r="A24" s="5" t="s">
        <v>22</v>
      </c>
      <c r="B24" s="7">
        <v>67</v>
      </c>
      <c r="C24" s="7">
        <v>95</v>
      </c>
      <c r="D24" s="7">
        <v>162</v>
      </c>
    </row>
    <row r="25" spans="1:4" x14ac:dyDescent="0.25">
      <c r="A25" s="5" t="s">
        <v>23</v>
      </c>
      <c r="B25" s="7">
        <v>116</v>
      </c>
      <c r="C25" s="7">
        <v>76</v>
      </c>
      <c r="D25" s="7">
        <v>192</v>
      </c>
    </row>
    <row r="26" spans="1:4" x14ac:dyDescent="0.25">
      <c r="A26" s="5" t="s">
        <v>47</v>
      </c>
      <c r="B26" s="7">
        <v>78</v>
      </c>
      <c r="C26" s="7">
        <v>33</v>
      </c>
      <c r="D26" s="7">
        <v>111</v>
      </c>
    </row>
    <row r="27" spans="1:4" x14ac:dyDescent="0.25">
      <c r="A27" s="5" t="s">
        <v>43</v>
      </c>
      <c r="B27" s="7">
        <v>519</v>
      </c>
      <c r="C27" s="7">
        <v>481</v>
      </c>
      <c r="D27" s="7">
        <v>1000</v>
      </c>
    </row>
    <row r="45" spans="1:4" x14ac:dyDescent="0.25">
      <c r="A45" s="4" t="s">
        <v>46</v>
      </c>
      <c r="B45" s="4" t="s">
        <v>45</v>
      </c>
    </row>
    <row r="46" spans="1:4" x14ac:dyDescent="0.25">
      <c r="A46" s="4" t="s">
        <v>42</v>
      </c>
      <c r="B46" t="s">
        <v>18</v>
      </c>
      <c r="C46" t="s">
        <v>15</v>
      </c>
      <c r="D46" t="s">
        <v>43</v>
      </c>
    </row>
    <row r="47" spans="1:4" x14ac:dyDescent="0.25">
      <c r="A47" s="5" t="s">
        <v>48</v>
      </c>
      <c r="B47" s="7">
        <v>71</v>
      </c>
      <c r="C47" s="7">
        <v>39</v>
      </c>
      <c r="D47" s="7">
        <v>110</v>
      </c>
    </row>
    <row r="48" spans="1:4" x14ac:dyDescent="0.25">
      <c r="A48" s="5" t="s">
        <v>49</v>
      </c>
      <c r="B48" s="7">
        <v>318</v>
      </c>
      <c r="C48" s="7">
        <v>383</v>
      </c>
      <c r="D48" s="7">
        <v>701</v>
      </c>
    </row>
    <row r="49" spans="1:4" x14ac:dyDescent="0.25">
      <c r="A49" s="5" t="s">
        <v>50</v>
      </c>
      <c r="B49" s="7">
        <v>130</v>
      </c>
      <c r="C49" s="7">
        <v>59</v>
      </c>
      <c r="D49" s="7">
        <v>189</v>
      </c>
    </row>
    <row r="50" spans="1:4" x14ac:dyDescent="0.25">
      <c r="A50" s="5" t="s">
        <v>43</v>
      </c>
      <c r="B50" s="7">
        <v>519</v>
      </c>
      <c r="C50" s="7">
        <v>481</v>
      </c>
      <c r="D50" s="7">
        <v>1000</v>
      </c>
    </row>
    <row r="68" spans="1:4" x14ac:dyDescent="0.25">
      <c r="A68" s="4" t="s">
        <v>46</v>
      </c>
      <c r="B68" s="4" t="s">
        <v>45</v>
      </c>
    </row>
    <row r="69" spans="1:4" x14ac:dyDescent="0.25">
      <c r="A69" s="4" t="s">
        <v>42</v>
      </c>
      <c r="B69" t="s">
        <v>18</v>
      </c>
      <c r="C69" t="s">
        <v>15</v>
      </c>
      <c r="D69" t="s">
        <v>43</v>
      </c>
    </row>
    <row r="70" spans="1:4" x14ac:dyDescent="0.25">
      <c r="A70" s="5">
        <v>25</v>
      </c>
      <c r="B70" s="7">
        <v>2</v>
      </c>
      <c r="C70" s="7">
        <v>4</v>
      </c>
      <c r="D70" s="7">
        <v>6</v>
      </c>
    </row>
    <row r="71" spans="1:4" x14ac:dyDescent="0.25">
      <c r="A71" s="5">
        <v>26</v>
      </c>
      <c r="B71" s="7">
        <v>8</v>
      </c>
      <c r="C71" s="7">
        <v>8</v>
      </c>
      <c r="D71" s="7">
        <v>16</v>
      </c>
    </row>
    <row r="72" spans="1:4" x14ac:dyDescent="0.25">
      <c r="A72" s="5">
        <v>27</v>
      </c>
      <c r="B72" s="7">
        <v>15</v>
      </c>
      <c r="C72" s="7">
        <v>8</v>
      </c>
      <c r="D72" s="7">
        <v>23</v>
      </c>
    </row>
    <row r="73" spans="1:4" x14ac:dyDescent="0.25">
      <c r="A73" s="5">
        <v>28</v>
      </c>
      <c r="B73" s="7">
        <v>12</v>
      </c>
      <c r="C73" s="7">
        <v>10</v>
      </c>
      <c r="D73" s="7">
        <v>22</v>
      </c>
    </row>
    <row r="74" spans="1:4" x14ac:dyDescent="0.25">
      <c r="A74" s="5">
        <v>29</v>
      </c>
      <c r="B74" s="7">
        <v>11</v>
      </c>
      <c r="C74" s="7">
        <v>5</v>
      </c>
      <c r="D74" s="7">
        <v>16</v>
      </c>
    </row>
    <row r="75" spans="1:4" x14ac:dyDescent="0.25">
      <c r="A75" s="5">
        <v>30</v>
      </c>
      <c r="B75" s="7">
        <v>23</v>
      </c>
      <c r="C75" s="7">
        <v>4</v>
      </c>
      <c r="D75" s="7">
        <v>27</v>
      </c>
    </row>
    <row r="76" spans="1:4" x14ac:dyDescent="0.25">
      <c r="A76" s="5">
        <v>31</v>
      </c>
      <c r="B76" s="7">
        <v>17</v>
      </c>
      <c r="C76" s="7">
        <v>8</v>
      </c>
      <c r="D76" s="7">
        <v>25</v>
      </c>
    </row>
    <row r="77" spans="1:4" x14ac:dyDescent="0.25">
      <c r="A77" s="5">
        <v>32</v>
      </c>
      <c r="B77" s="7">
        <v>19</v>
      </c>
      <c r="C77" s="7">
        <v>14</v>
      </c>
      <c r="D77" s="7">
        <v>33</v>
      </c>
    </row>
    <row r="78" spans="1:4" x14ac:dyDescent="0.25">
      <c r="A78" s="5">
        <v>33</v>
      </c>
      <c r="B78" s="7">
        <v>8</v>
      </c>
      <c r="C78" s="7">
        <v>13</v>
      </c>
      <c r="D78" s="7">
        <v>21</v>
      </c>
    </row>
    <row r="79" spans="1:4" x14ac:dyDescent="0.25">
      <c r="A79" s="5">
        <v>34</v>
      </c>
      <c r="B79" s="7">
        <v>12</v>
      </c>
      <c r="C79" s="7">
        <v>19</v>
      </c>
      <c r="D79" s="7">
        <v>31</v>
      </c>
    </row>
    <row r="80" spans="1:4" x14ac:dyDescent="0.25">
      <c r="A80" s="5">
        <v>35</v>
      </c>
      <c r="B80" s="7">
        <v>14</v>
      </c>
      <c r="C80" s="7">
        <v>22</v>
      </c>
      <c r="D80" s="7">
        <v>36</v>
      </c>
    </row>
    <row r="81" spans="1:4" x14ac:dyDescent="0.25">
      <c r="A81" s="5">
        <v>36</v>
      </c>
      <c r="B81" s="7">
        <v>7</v>
      </c>
      <c r="C81" s="7">
        <v>30</v>
      </c>
      <c r="D81" s="7">
        <v>37</v>
      </c>
    </row>
    <row r="82" spans="1:4" x14ac:dyDescent="0.25">
      <c r="A82" s="5">
        <v>37</v>
      </c>
      <c r="B82" s="7">
        <v>4</v>
      </c>
      <c r="C82" s="7">
        <v>28</v>
      </c>
      <c r="D82" s="7">
        <v>32</v>
      </c>
    </row>
    <row r="83" spans="1:4" x14ac:dyDescent="0.25">
      <c r="A83" s="5">
        <v>38</v>
      </c>
      <c r="B83" s="7">
        <v>8</v>
      </c>
      <c r="C83" s="7">
        <v>29</v>
      </c>
      <c r="D83" s="7">
        <v>37</v>
      </c>
    </row>
    <row r="84" spans="1:4" x14ac:dyDescent="0.25">
      <c r="A84" s="5">
        <v>39</v>
      </c>
      <c r="B84" s="7">
        <v>10</v>
      </c>
      <c r="C84" s="7">
        <v>12</v>
      </c>
      <c r="D84" s="7">
        <v>22</v>
      </c>
    </row>
    <row r="85" spans="1:4" x14ac:dyDescent="0.25">
      <c r="A85" s="5">
        <v>40</v>
      </c>
      <c r="B85" s="7">
        <v>24</v>
      </c>
      <c r="C85" s="7">
        <v>18</v>
      </c>
      <c r="D85" s="7">
        <v>42</v>
      </c>
    </row>
    <row r="86" spans="1:4" x14ac:dyDescent="0.25">
      <c r="A86" s="5">
        <v>41</v>
      </c>
      <c r="B86" s="7">
        <v>13</v>
      </c>
      <c r="C86" s="7">
        <v>15</v>
      </c>
      <c r="D86" s="7">
        <v>28</v>
      </c>
    </row>
    <row r="87" spans="1:4" x14ac:dyDescent="0.25">
      <c r="A87" s="5">
        <v>42</v>
      </c>
      <c r="B87" s="7">
        <v>22</v>
      </c>
      <c r="C87" s="7">
        <v>12</v>
      </c>
      <c r="D87" s="7">
        <v>34</v>
      </c>
    </row>
    <row r="88" spans="1:4" x14ac:dyDescent="0.25">
      <c r="A88" s="5">
        <v>43</v>
      </c>
      <c r="B88" s="7">
        <v>17</v>
      </c>
      <c r="C88" s="7">
        <v>19</v>
      </c>
      <c r="D88" s="7">
        <v>36</v>
      </c>
    </row>
    <row r="89" spans="1:4" x14ac:dyDescent="0.25">
      <c r="A89" s="5">
        <v>44</v>
      </c>
      <c r="B89" s="7">
        <v>15</v>
      </c>
      <c r="C89" s="7">
        <v>12</v>
      </c>
      <c r="D89" s="7">
        <v>27</v>
      </c>
    </row>
    <row r="90" spans="1:4" x14ac:dyDescent="0.25">
      <c r="A90" s="5">
        <v>45</v>
      </c>
      <c r="B90" s="7">
        <v>18</v>
      </c>
      <c r="C90" s="7">
        <v>13</v>
      </c>
      <c r="D90" s="7">
        <v>31</v>
      </c>
    </row>
    <row r="91" spans="1:4" x14ac:dyDescent="0.25">
      <c r="A91" s="5">
        <v>46</v>
      </c>
      <c r="B91" s="7">
        <v>12</v>
      </c>
      <c r="C91" s="7">
        <v>15</v>
      </c>
      <c r="D91" s="7">
        <v>27</v>
      </c>
    </row>
    <row r="92" spans="1:4" x14ac:dyDescent="0.25">
      <c r="A92" s="5">
        <v>47</v>
      </c>
      <c r="B92" s="7">
        <v>19</v>
      </c>
      <c r="C92" s="7">
        <v>20</v>
      </c>
      <c r="D92" s="7">
        <v>39</v>
      </c>
    </row>
    <row r="93" spans="1:4" x14ac:dyDescent="0.25">
      <c r="A93" s="5">
        <v>48</v>
      </c>
      <c r="B93" s="7">
        <v>16</v>
      </c>
      <c r="C93" s="7">
        <v>13</v>
      </c>
      <c r="D93" s="7">
        <v>29</v>
      </c>
    </row>
    <row r="94" spans="1:4" x14ac:dyDescent="0.25">
      <c r="A94" s="5">
        <v>49</v>
      </c>
      <c r="B94" s="7">
        <v>15</v>
      </c>
      <c r="C94" s="7">
        <v>8</v>
      </c>
      <c r="D94" s="7">
        <v>23</v>
      </c>
    </row>
    <row r="95" spans="1:4" x14ac:dyDescent="0.25">
      <c r="A95" s="5">
        <v>50</v>
      </c>
      <c r="B95" s="7">
        <v>12</v>
      </c>
      <c r="C95" s="7">
        <v>12</v>
      </c>
      <c r="D95" s="7">
        <v>24</v>
      </c>
    </row>
    <row r="96" spans="1:4" x14ac:dyDescent="0.25">
      <c r="A96" s="5">
        <v>51</v>
      </c>
      <c r="B96" s="7">
        <v>10</v>
      </c>
      <c r="C96" s="7">
        <v>12</v>
      </c>
      <c r="D96" s="7">
        <v>22</v>
      </c>
    </row>
    <row r="97" spans="1:4" x14ac:dyDescent="0.25">
      <c r="A97" s="5">
        <v>52</v>
      </c>
      <c r="B97" s="7">
        <v>10</v>
      </c>
      <c r="C97" s="7">
        <v>15</v>
      </c>
      <c r="D97" s="7">
        <v>25</v>
      </c>
    </row>
    <row r="98" spans="1:4" x14ac:dyDescent="0.25">
      <c r="A98" s="5">
        <v>53</v>
      </c>
      <c r="B98" s="7">
        <v>11</v>
      </c>
      <c r="C98" s="7">
        <v>13</v>
      </c>
      <c r="D98" s="7">
        <v>24</v>
      </c>
    </row>
    <row r="99" spans="1:4" x14ac:dyDescent="0.25">
      <c r="A99" s="5">
        <v>54</v>
      </c>
      <c r="B99" s="7">
        <v>5</v>
      </c>
      <c r="C99" s="7">
        <v>11</v>
      </c>
      <c r="D99" s="7">
        <v>16</v>
      </c>
    </row>
    <row r="100" spans="1:4" x14ac:dyDescent="0.25">
      <c r="A100" s="5">
        <v>55</v>
      </c>
      <c r="B100" s="7">
        <v>13</v>
      </c>
      <c r="C100" s="7">
        <v>5</v>
      </c>
      <c r="D100" s="7">
        <v>18</v>
      </c>
    </row>
    <row r="101" spans="1:4" x14ac:dyDescent="0.25">
      <c r="A101" s="5">
        <v>56</v>
      </c>
      <c r="B101" s="7">
        <v>13</v>
      </c>
      <c r="C101" s="7">
        <v>3</v>
      </c>
      <c r="D101" s="7">
        <v>16</v>
      </c>
    </row>
    <row r="102" spans="1:4" x14ac:dyDescent="0.25">
      <c r="A102" s="5">
        <v>57</v>
      </c>
      <c r="B102" s="7">
        <v>4</v>
      </c>
      <c r="C102" s="7">
        <v>4</v>
      </c>
      <c r="D102" s="7">
        <v>8</v>
      </c>
    </row>
    <row r="103" spans="1:4" x14ac:dyDescent="0.25">
      <c r="A103" s="5">
        <v>58</v>
      </c>
      <c r="B103" s="7">
        <v>8</v>
      </c>
      <c r="C103" s="7">
        <v>4</v>
      </c>
      <c r="D103" s="7">
        <v>12</v>
      </c>
    </row>
    <row r="104" spans="1:4" x14ac:dyDescent="0.25">
      <c r="A104" s="5">
        <v>59</v>
      </c>
      <c r="B104" s="7">
        <v>14</v>
      </c>
      <c r="C104" s="7">
        <v>6</v>
      </c>
      <c r="D104" s="7">
        <v>20</v>
      </c>
    </row>
    <row r="105" spans="1:4" x14ac:dyDescent="0.25">
      <c r="A105" s="5">
        <v>60</v>
      </c>
      <c r="B105" s="7">
        <v>8</v>
      </c>
      <c r="C105" s="7">
        <v>7</v>
      </c>
      <c r="D105" s="7">
        <v>15</v>
      </c>
    </row>
    <row r="106" spans="1:4" x14ac:dyDescent="0.25">
      <c r="A106" s="5">
        <v>61</v>
      </c>
      <c r="B106" s="7">
        <v>5</v>
      </c>
      <c r="C106" s="7">
        <v>4</v>
      </c>
      <c r="D106" s="7">
        <v>9</v>
      </c>
    </row>
    <row r="107" spans="1:4" x14ac:dyDescent="0.25">
      <c r="A107" s="5">
        <v>62</v>
      </c>
      <c r="B107" s="7">
        <v>9</v>
      </c>
      <c r="C107" s="7">
        <v>4</v>
      </c>
      <c r="D107" s="7">
        <v>13</v>
      </c>
    </row>
    <row r="108" spans="1:4" x14ac:dyDescent="0.25">
      <c r="A108" s="5">
        <v>63</v>
      </c>
      <c r="B108" s="7">
        <v>7</v>
      </c>
      <c r="C108" s="7">
        <v>2</v>
      </c>
      <c r="D108" s="7">
        <v>9</v>
      </c>
    </row>
    <row r="109" spans="1:4" x14ac:dyDescent="0.25">
      <c r="A109" s="5">
        <v>64</v>
      </c>
      <c r="B109" s="7">
        <v>7</v>
      </c>
      <c r="C109" s="7">
        <v>3</v>
      </c>
      <c r="D109" s="7">
        <v>10</v>
      </c>
    </row>
    <row r="110" spans="1:4" x14ac:dyDescent="0.25">
      <c r="A110" s="5">
        <v>65</v>
      </c>
      <c r="B110" s="7">
        <v>6</v>
      </c>
      <c r="C110" s="7">
        <v>3</v>
      </c>
      <c r="D110" s="7">
        <v>9</v>
      </c>
    </row>
    <row r="111" spans="1:4" x14ac:dyDescent="0.25">
      <c r="A111" s="5">
        <v>66</v>
      </c>
      <c r="B111" s="7">
        <v>8</v>
      </c>
      <c r="C111" s="7">
        <v>6</v>
      </c>
      <c r="D111" s="7">
        <v>14</v>
      </c>
    </row>
    <row r="112" spans="1:4" x14ac:dyDescent="0.25">
      <c r="A112" s="5">
        <v>67</v>
      </c>
      <c r="B112" s="7">
        <v>8</v>
      </c>
      <c r="C112" s="7">
        <v>2</v>
      </c>
      <c r="D112" s="7">
        <v>10</v>
      </c>
    </row>
    <row r="113" spans="1:4" x14ac:dyDescent="0.25">
      <c r="A113" s="5">
        <v>68</v>
      </c>
      <c r="B113" s="7">
        <v>3</v>
      </c>
      <c r="C113" s="7"/>
      <c r="D113" s="7">
        <v>3</v>
      </c>
    </row>
    <row r="114" spans="1:4" x14ac:dyDescent="0.25">
      <c r="A114" s="5">
        <v>69</v>
      </c>
      <c r="B114" s="7">
        <v>8</v>
      </c>
      <c r="C114" s="7"/>
      <c r="D114" s="7">
        <v>8</v>
      </c>
    </row>
    <row r="115" spans="1:4" x14ac:dyDescent="0.25">
      <c r="A115" s="5">
        <v>70</v>
      </c>
      <c r="B115" s="7">
        <v>3</v>
      </c>
      <c r="C115" s="7">
        <v>1</v>
      </c>
      <c r="D115" s="7">
        <v>4</v>
      </c>
    </row>
    <row r="116" spans="1:4" x14ac:dyDescent="0.25">
      <c r="A116" s="5">
        <v>71</v>
      </c>
      <c r="B116" s="7">
        <v>1</v>
      </c>
      <c r="C116" s="7"/>
      <c r="D116" s="7">
        <v>1</v>
      </c>
    </row>
    <row r="117" spans="1:4" x14ac:dyDescent="0.25">
      <c r="A117" s="5">
        <v>72</v>
      </c>
      <c r="B117" s="7"/>
      <c r="C117" s="7">
        <v>1</v>
      </c>
      <c r="D117" s="7">
        <v>1</v>
      </c>
    </row>
    <row r="118" spans="1:4" x14ac:dyDescent="0.25">
      <c r="A118" s="5">
        <v>73</v>
      </c>
      <c r="B118" s="7">
        <v>2</v>
      </c>
      <c r="C118" s="7">
        <v>2</v>
      </c>
      <c r="D118" s="7">
        <v>4</v>
      </c>
    </row>
    <row r="119" spans="1:4" x14ac:dyDescent="0.25">
      <c r="A119" s="5">
        <v>74</v>
      </c>
      <c r="B119" s="7"/>
      <c r="C119" s="7">
        <v>1</v>
      </c>
      <c r="D119" s="7">
        <v>1</v>
      </c>
    </row>
    <row r="120" spans="1:4" x14ac:dyDescent="0.25">
      <c r="A120" s="5">
        <v>78</v>
      </c>
      <c r="B120" s="7">
        <v>1</v>
      </c>
      <c r="C120" s="7">
        <v>1</v>
      </c>
      <c r="D120" s="7">
        <v>2</v>
      </c>
    </row>
    <row r="121" spans="1:4" x14ac:dyDescent="0.25">
      <c r="A121" s="5">
        <v>80</v>
      </c>
      <c r="B121" s="7">
        <v>1</v>
      </c>
      <c r="C121" s="7"/>
      <c r="D121" s="7">
        <v>1</v>
      </c>
    </row>
    <row r="122" spans="1:4" x14ac:dyDescent="0.25">
      <c r="A122" s="5">
        <v>89</v>
      </c>
      <c r="B122" s="7">
        <v>1</v>
      </c>
      <c r="C122" s="7"/>
      <c r="D122" s="7">
        <v>1</v>
      </c>
    </row>
    <row r="123" spans="1:4" x14ac:dyDescent="0.25">
      <c r="A123" s="5" t="s">
        <v>43</v>
      </c>
      <c r="B123" s="7">
        <v>519</v>
      </c>
      <c r="C123" s="7">
        <v>481</v>
      </c>
      <c r="D123"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1F0B-65EC-4BBA-9F7C-A1065D1908D3}">
  <dimension ref="A1:O1001"/>
  <sheetViews>
    <sheetView workbookViewId="0">
      <selection activeCell="M2" sqref="M2:M1001"/>
    </sheetView>
  </sheetViews>
  <sheetFormatPr defaultColWidth="11.85546875" defaultRowHeight="15" x14ac:dyDescent="0.25"/>
  <cols>
    <col min="4" max="4" width="11.85546875" style="3"/>
    <col min="14" max="14" width="15.42578125" customWidth="1"/>
  </cols>
  <sheetData>
    <row r="1" spans="1:15" x14ac:dyDescent="0.25">
      <c r="A1" t="s">
        <v>0</v>
      </c>
      <c r="B1" t="s">
        <v>1</v>
      </c>
      <c r="C1" t="s">
        <v>2</v>
      </c>
      <c r="D1" s="3" t="s">
        <v>3</v>
      </c>
      <c r="E1" t="s">
        <v>4</v>
      </c>
      <c r="F1" t="s">
        <v>5</v>
      </c>
      <c r="G1" t="s">
        <v>6</v>
      </c>
      <c r="H1" t="s">
        <v>7</v>
      </c>
      <c r="I1" t="s">
        <v>8</v>
      </c>
      <c r="J1" t="s">
        <v>9</v>
      </c>
      <c r="K1" t="s">
        <v>10</v>
      </c>
      <c r="L1" t="s">
        <v>11</v>
      </c>
      <c r="M1" t="s">
        <v>41</v>
      </c>
      <c r="N1" t="s">
        <v>12</v>
      </c>
    </row>
    <row r="2" spans="1:15" x14ac:dyDescent="0.25">
      <c r="A2">
        <v>12496</v>
      </c>
      <c r="B2" t="s">
        <v>37</v>
      </c>
      <c r="C2" t="s">
        <v>39</v>
      </c>
      <c r="D2" s="3">
        <v>40000</v>
      </c>
      <c r="E2">
        <v>1</v>
      </c>
      <c r="F2" t="s">
        <v>13</v>
      </c>
      <c r="G2" t="s">
        <v>14</v>
      </c>
      <c r="H2" t="s">
        <v>15</v>
      </c>
      <c r="I2">
        <v>0</v>
      </c>
      <c r="J2" t="s">
        <v>16</v>
      </c>
      <c r="K2" t="s">
        <v>17</v>
      </c>
      <c r="L2">
        <v>42</v>
      </c>
      <c r="M2" t="str">
        <f>IF(L2&gt;54,"55+",IF(L2&gt;=31,"Middle Age",IF(L2&lt;31,"25–30","Invalid")))</f>
        <v>Middle Age</v>
      </c>
      <c r="N2" t="s">
        <v>18</v>
      </c>
    </row>
    <row r="3" spans="1:15" x14ac:dyDescent="0.25">
      <c r="A3">
        <v>24107</v>
      </c>
      <c r="B3" t="s">
        <v>37</v>
      </c>
      <c r="C3" t="s">
        <v>40</v>
      </c>
      <c r="D3" s="3">
        <v>30000</v>
      </c>
      <c r="E3">
        <v>3</v>
      </c>
      <c r="F3" t="s">
        <v>19</v>
      </c>
      <c r="G3" t="s">
        <v>20</v>
      </c>
      <c r="H3" t="s">
        <v>15</v>
      </c>
      <c r="I3">
        <v>1</v>
      </c>
      <c r="J3" t="s">
        <v>16</v>
      </c>
      <c r="K3" t="s">
        <v>17</v>
      </c>
      <c r="L3">
        <v>43</v>
      </c>
      <c r="M3" t="str">
        <f t="shared" ref="M3:M66" si="0">IF(L3&gt;54,"55+",IF(L3&gt;=31,"Middle Age",IF(L3&lt;31,"25–30","Invalid")))</f>
        <v>Middle Age</v>
      </c>
      <c r="N3" t="s">
        <v>18</v>
      </c>
    </row>
    <row r="4" spans="1:15" x14ac:dyDescent="0.25">
      <c r="A4">
        <v>14177</v>
      </c>
      <c r="B4" t="s">
        <v>37</v>
      </c>
      <c r="C4" t="s">
        <v>40</v>
      </c>
      <c r="D4" s="3">
        <v>80000</v>
      </c>
      <c r="E4">
        <v>5</v>
      </c>
      <c r="F4" t="s">
        <v>19</v>
      </c>
      <c r="G4" t="s">
        <v>21</v>
      </c>
      <c r="H4" t="s">
        <v>18</v>
      </c>
      <c r="I4">
        <v>2</v>
      </c>
      <c r="J4" t="s">
        <v>22</v>
      </c>
      <c r="K4" t="s">
        <v>17</v>
      </c>
      <c r="L4">
        <v>60</v>
      </c>
      <c r="M4" t="str">
        <f t="shared" si="0"/>
        <v>55+</v>
      </c>
      <c r="N4" t="s">
        <v>18</v>
      </c>
    </row>
    <row r="5" spans="1:15" x14ac:dyDescent="0.25">
      <c r="A5">
        <v>24381</v>
      </c>
      <c r="B5" t="s">
        <v>38</v>
      </c>
      <c r="C5" t="s">
        <v>40</v>
      </c>
      <c r="D5" s="3">
        <v>70000</v>
      </c>
      <c r="E5">
        <v>0</v>
      </c>
      <c r="F5" t="s">
        <v>13</v>
      </c>
      <c r="G5" t="s">
        <v>21</v>
      </c>
      <c r="H5" t="s">
        <v>15</v>
      </c>
      <c r="I5">
        <v>1</v>
      </c>
      <c r="J5" t="s">
        <v>23</v>
      </c>
      <c r="K5" t="s">
        <v>24</v>
      </c>
      <c r="L5">
        <v>41</v>
      </c>
      <c r="M5" t="str">
        <f t="shared" si="0"/>
        <v>Middle Age</v>
      </c>
      <c r="N5" t="s">
        <v>15</v>
      </c>
      <c r="O5" t="s">
        <v>36</v>
      </c>
    </row>
    <row r="6" spans="1:15" x14ac:dyDescent="0.25">
      <c r="A6">
        <v>25597</v>
      </c>
      <c r="B6" t="s">
        <v>38</v>
      </c>
      <c r="C6" t="s">
        <v>40</v>
      </c>
      <c r="D6" s="3">
        <v>30000</v>
      </c>
      <c r="E6">
        <v>0</v>
      </c>
      <c r="F6" t="s">
        <v>13</v>
      </c>
      <c r="G6" t="s">
        <v>20</v>
      </c>
      <c r="H6" t="s">
        <v>18</v>
      </c>
      <c r="I6">
        <v>0</v>
      </c>
      <c r="J6" t="s">
        <v>16</v>
      </c>
      <c r="K6" t="s">
        <v>17</v>
      </c>
      <c r="L6">
        <v>36</v>
      </c>
      <c r="M6" t="str">
        <f t="shared" si="0"/>
        <v>Middle Age</v>
      </c>
      <c r="N6" t="s">
        <v>15</v>
      </c>
    </row>
    <row r="7" spans="1:15" x14ac:dyDescent="0.25">
      <c r="A7">
        <v>13507</v>
      </c>
      <c r="B7" t="s">
        <v>37</v>
      </c>
      <c r="C7" t="s">
        <v>39</v>
      </c>
      <c r="D7" s="3">
        <v>10000</v>
      </c>
      <c r="E7">
        <v>2</v>
      </c>
      <c r="F7" t="s">
        <v>19</v>
      </c>
      <c r="G7" t="s">
        <v>25</v>
      </c>
      <c r="H7" t="s">
        <v>15</v>
      </c>
      <c r="I7">
        <v>0</v>
      </c>
      <c r="J7" t="s">
        <v>26</v>
      </c>
      <c r="K7" t="s">
        <v>17</v>
      </c>
      <c r="L7">
        <v>50</v>
      </c>
      <c r="M7" t="str">
        <f t="shared" si="0"/>
        <v>Middle Age</v>
      </c>
      <c r="N7" t="s">
        <v>18</v>
      </c>
    </row>
    <row r="8" spans="1:15" x14ac:dyDescent="0.25">
      <c r="A8">
        <v>27974</v>
      </c>
      <c r="B8" t="s">
        <v>38</v>
      </c>
      <c r="C8" t="s">
        <v>40</v>
      </c>
      <c r="D8" s="3">
        <v>160000</v>
      </c>
      <c r="E8">
        <v>2</v>
      </c>
      <c r="F8" t="s">
        <v>27</v>
      </c>
      <c r="G8" t="s">
        <v>28</v>
      </c>
      <c r="H8" t="s">
        <v>15</v>
      </c>
      <c r="I8">
        <v>4</v>
      </c>
      <c r="J8" t="s">
        <v>16</v>
      </c>
      <c r="K8" t="s">
        <v>24</v>
      </c>
      <c r="L8">
        <v>33</v>
      </c>
      <c r="M8" t="str">
        <f t="shared" si="0"/>
        <v>Middle Age</v>
      </c>
      <c r="N8" t="s">
        <v>15</v>
      </c>
    </row>
    <row r="9" spans="1:15" x14ac:dyDescent="0.25">
      <c r="A9">
        <v>19364</v>
      </c>
      <c r="B9" t="s">
        <v>37</v>
      </c>
      <c r="C9" t="s">
        <v>40</v>
      </c>
      <c r="D9" s="3">
        <v>40000</v>
      </c>
      <c r="E9">
        <v>1</v>
      </c>
      <c r="F9" t="s">
        <v>13</v>
      </c>
      <c r="G9" t="s">
        <v>14</v>
      </c>
      <c r="H9" t="s">
        <v>15</v>
      </c>
      <c r="I9">
        <v>0</v>
      </c>
      <c r="J9" t="s">
        <v>16</v>
      </c>
      <c r="K9" t="s">
        <v>17</v>
      </c>
      <c r="L9">
        <v>43</v>
      </c>
      <c r="M9" t="str">
        <f t="shared" si="0"/>
        <v>Middle Age</v>
      </c>
      <c r="N9" t="s">
        <v>15</v>
      </c>
    </row>
    <row r="10" spans="1:15" x14ac:dyDescent="0.25">
      <c r="A10">
        <v>22155</v>
      </c>
      <c r="B10" t="s">
        <v>37</v>
      </c>
      <c r="C10" t="s">
        <v>40</v>
      </c>
      <c r="D10" s="3">
        <v>20000</v>
      </c>
      <c r="E10">
        <v>2</v>
      </c>
      <c r="F10" t="s">
        <v>29</v>
      </c>
      <c r="G10" t="s">
        <v>20</v>
      </c>
      <c r="H10" t="s">
        <v>15</v>
      </c>
      <c r="I10">
        <v>2</v>
      </c>
      <c r="J10" t="s">
        <v>23</v>
      </c>
      <c r="K10" t="s">
        <v>24</v>
      </c>
      <c r="L10">
        <v>58</v>
      </c>
      <c r="M10" t="str">
        <f t="shared" si="0"/>
        <v>55+</v>
      </c>
      <c r="N10" t="s">
        <v>18</v>
      </c>
    </row>
    <row r="11" spans="1:15" x14ac:dyDescent="0.25">
      <c r="A11">
        <v>19280</v>
      </c>
      <c r="B11" t="s">
        <v>37</v>
      </c>
      <c r="C11" t="s">
        <v>40</v>
      </c>
      <c r="D11" s="3">
        <v>120000</v>
      </c>
      <c r="E11">
        <v>2</v>
      </c>
      <c r="F11" t="s">
        <v>19</v>
      </c>
      <c r="G11" t="s">
        <v>25</v>
      </c>
      <c r="H11" t="s">
        <v>15</v>
      </c>
      <c r="I11">
        <v>1</v>
      </c>
      <c r="J11" t="s">
        <v>16</v>
      </c>
      <c r="K11" t="s">
        <v>17</v>
      </c>
      <c r="L11">
        <v>40</v>
      </c>
      <c r="M11" t="str">
        <f t="shared" si="0"/>
        <v>Middle Age</v>
      </c>
      <c r="N11" t="s">
        <v>15</v>
      </c>
    </row>
    <row r="12" spans="1:15" x14ac:dyDescent="0.25">
      <c r="A12">
        <v>22173</v>
      </c>
      <c r="B12" t="s">
        <v>37</v>
      </c>
      <c r="C12" t="s">
        <v>39</v>
      </c>
      <c r="D12" s="3">
        <v>30000</v>
      </c>
      <c r="E12">
        <v>3</v>
      </c>
      <c r="F12" t="s">
        <v>27</v>
      </c>
      <c r="G12" t="s">
        <v>14</v>
      </c>
      <c r="H12" t="s">
        <v>18</v>
      </c>
      <c r="I12">
        <v>2</v>
      </c>
      <c r="J12" t="s">
        <v>26</v>
      </c>
      <c r="K12" t="s">
        <v>24</v>
      </c>
      <c r="L12">
        <v>54</v>
      </c>
      <c r="M12" t="str">
        <f t="shared" si="0"/>
        <v>Middle Age</v>
      </c>
      <c r="N12" t="s">
        <v>15</v>
      </c>
    </row>
    <row r="13" spans="1:15" x14ac:dyDescent="0.25">
      <c r="A13">
        <v>12697</v>
      </c>
      <c r="B13" t="s">
        <v>38</v>
      </c>
      <c r="C13" t="s">
        <v>39</v>
      </c>
      <c r="D13" s="3">
        <v>90000</v>
      </c>
      <c r="E13">
        <v>0</v>
      </c>
      <c r="F13" t="s">
        <v>13</v>
      </c>
      <c r="G13" t="s">
        <v>21</v>
      </c>
      <c r="H13" t="s">
        <v>18</v>
      </c>
      <c r="I13">
        <v>4</v>
      </c>
      <c r="J13" t="s">
        <v>47</v>
      </c>
      <c r="K13" t="s">
        <v>24</v>
      </c>
      <c r="L13">
        <v>36</v>
      </c>
      <c r="M13" t="str">
        <f t="shared" si="0"/>
        <v>Middle Age</v>
      </c>
      <c r="N13" t="s">
        <v>18</v>
      </c>
    </row>
    <row r="14" spans="1:15" x14ac:dyDescent="0.25">
      <c r="A14">
        <v>11434</v>
      </c>
      <c r="B14" t="s">
        <v>37</v>
      </c>
      <c r="C14" t="s">
        <v>40</v>
      </c>
      <c r="D14" s="3">
        <v>170000</v>
      </c>
      <c r="E14">
        <v>5</v>
      </c>
      <c r="F14" t="s">
        <v>19</v>
      </c>
      <c r="G14" t="s">
        <v>21</v>
      </c>
      <c r="H14" t="s">
        <v>15</v>
      </c>
      <c r="I14">
        <v>0</v>
      </c>
      <c r="J14" t="s">
        <v>16</v>
      </c>
      <c r="K14" t="s">
        <v>17</v>
      </c>
      <c r="L14">
        <v>55</v>
      </c>
      <c r="M14" t="str">
        <f t="shared" si="0"/>
        <v>55+</v>
      </c>
      <c r="N14" t="s">
        <v>18</v>
      </c>
    </row>
    <row r="15" spans="1:15" x14ac:dyDescent="0.25">
      <c r="A15">
        <v>25323</v>
      </c>
      <c r="B15" t="s">
        <v>37</v>
      </c>
      <c r="C15" t="s">
        <v>40</v>
      </c>
      <c r="D15" s="3">
        <v>40000</v>
      </c>
      <c r="E15">
        <v>2</v>
      </c>
      <c r="F15" t="s">
        <v>19</v>
      </c>
      <c r="G15" t="s">
        <v>20</v>
      </c>
      <c r="H15" t="s">
        <v>15</v>
      </c>
      <c r="I15">
        <v>1</v>
      </c>
      <c r="J15" t="s">
        <v>26</v>
      </c>
      <c r="K15" t="s">
        <v>17</v>
      </c>
      <c r="L15">
        <v>35</v>
      </c>
      <c r="M15" t="str">
        <f t="shared" si="0"/>
        <v>Middle Age</v>
      </c>
      <c r="N15" t="s">
        <v>15</v>
      </c>
    </row>
    <row r="16" spans="1:15" x14ac:dyDescent="0.25">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2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38</v>
      </c>
      <c r="C18" t="s">
        <v>40</v>
      </c>
      <c r="D18" s="3">
        <v>30000</v>
      </c>
      <c r="E18">
        <v>3</v>
      </c>
      <c r="F18" t="s">
        <v>19</v>
      </c>
      <c r="G18" t="s">
        <v>20</v>
      </c>
      <c r="H18" t="s">
        <v>18</v>
      </c>
      <c r="I18">
        <v>2</v>
      </c>
      <c r="J18" t="s">
        <v>26</v>
      </c>
      <c r="K18" t="s">
        <v>24</v>
      </c>
      <c r="L18">
        <v>59</v>
      </c>
      <c r="M18" t="str">
        <f t="shared" si="0"/>
        <v>55+</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25">
      <c r="A21">
        <v>25940</v>
      </c>
      <c r="B21" t="s">
        <v>38</v>
      </c>
      <c r="C21" t="s">
        <v>40</v>
      </c>
      <c r="D21" s="3">
        <v>20000</v>
      </c>
      <c r="E21">
        <v>2</v>
      </c>
      <c r="F21" t="s">
        <v>29</v>
      </c>
      <c r="G21" t="s">
        <v>20</v>
      </c>
      <c r="H21" t="s">
        <v>15</v>
      </c>
      <c r="I21">
        <v>2</v>
      </c>
      <c r="J21" t="s">
        <v>23</v>
      </c>
      <c r="K21" t="s">
        <v>24</v>
      </c>
      <c r="L21">
        <v>55</v>
      </c>
      <c r="M21" t="str">
        <f t="shared" si="0"/>
        <v>55+</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38</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55+</v>
      </c>
      <c r="N25" t="s">
        <v>18</v>
      </c>
    </row>
    <row r="26" spans="1:14" x14ac:dyDescent="0.25">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25">
      <c r="A27">
        <v>12590</v>
      </c>
      <c r="B27" t="s">
        <v>38</v>
      </c>
      <c r="C27" t="s">
        <v>40</v>
      </c>
      <c r="D27" s="3">
        <v>30000</v>
      </c>
      <c r="E27">
        <v>1</v>
      </c>
      <c r="F27" t="s">
        <v>13</v>
      </c>
      <c r="G27" t="s">
        <v>20</v>
      </c>
      <c r="H27" t="s">
        <v>15</v>
      </c>
      <c r="I27">
        <v>0</v>
      </c>
      <c r="J27" t="s">
        <v>16</v>
      </c>
      <c r="K27" t="s">
        <v>17</v>
      </c>
      <c r="L27">
        <v>63</v>
      </c>
      <c r="M27" t="str">
        <f t="shared" si="0"/>
        <v>55+</v>
      </c>
      <c r="N27" t="s">
        <v>18</v>
      </c>
    </row>
    <row r="28" spans="1:14" x14ac:dyDescent="0.25">
      <c r="A28">
        <v>17841</v>
      </c>
      <c r="B28" t="s">
        <v>38</v>
      </c>
      <c r="C28" t="s">
        <v>40</v>
      </c>
      <c r="D28" s="3">
        <v>30000</v>
      </c>
      <c r="E28">
        <v>0</v>
      </c>
      <c r="F28" t="s">
        <v>19</v>
      </c>
      <c r="G28" t="s">
        <v>20</v>
      </c>
      <c r="H28" t="s">
        <v>18</v>
      </c>
      <c r="I28">
        <v>1</v>
      </c>
      <c r="J28" t="s">
        <v>16</v>
      </c>
      <c r="K28" t="s">
        <v>17</v>
      </c>
      <c r="L28">
        <v>29</v>
      </c>
      <c r="M28" t="str">
        <f t="shared" si="0"/>
        <v>25–30</v>
      </c>
      <c r="N28" t="s">
        <v>15</v>
      </c>
    </row>
    <row r="29" spans="1:14" x14ac:dyDescent="0.2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2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55+</v>
      </c>
      <c r="N32" t="s">
        <v>18</v>
      </c>
    </row>
    <row r="33" spans="1:14" x14ac:dyDescent="0.25">
      <c r="A33">
        <v>22400</v>
      </c>
      <c r="B33" t="s">
        <v>37</v>
      </c>
      <c r="C33" t="s">
        <v>40</v>
      </c>
      <c r="D33" s="3">
        <v>10000</v>
      </c>
      <c r="E33">
        <v>0</v>
      </c>
      <c r="F33" t="s">
        <v>19</v>
      </c>
      <c r="G33" t="s">
        <v>25</v>
      </c>
      <c r="H33" t="s">
        <v>18</v>
      </c>
      <c r="I33">
        <v>1</v>
      </c>
      <c r="J33" t="s">
        <v>16</v>
      </c>
      <c r="K33" t="s">
        <v>24</v>
      </c>
      <c r="L33">
        <v>26</v>
      </c>
      <c r="M33" t="str">
        <f t="shared" si="0"/>
        <v>25–30</v>
      </c>
      <c r="N33" t="s">
        <v>15</v>
      </c>
    </row>
    <row r="34" spans="1:14" x14ac:dyDescent="0.2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25">
      <c r="A36">
        <v>12291</v>
      </c>
      <c r="B36" t="s">
        <v>38</v>
      </c>
      <c r="C36" t="s">
        <v>40</v>
      </c>
      <c r="D36" s="3">
        <v>90000</v>
      </c>
      <c r="E36">
        <v>5</v>
      </c>
      <c r="F36" t="s">
        <v>19</v>
      </c>
      <c r="G36" t="s">
        <v>21</v>
      </c>
      <c r="H36" t="s">
        <v>18</v>
      </c>
      <c r="I36">
        <v>2</v>
      </c>
      <c r="J36" t="s">
        <v>22</v>
      </c>
      <c r="K36" t="s">
        <v>17</v>
      </c>
      <c r="L36">
        <v>62</v>
      </c>
      <c r="M36" t="str">
        <f t="shared" si="0"/>
        <v>55+</v>
      </c>
      <c r="N36" t="s">
        <v>15</v>
      </c>
    </row>
    <row r="37" spans="1:14" x14ac:dyDescent="0.2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38</v>
      </c>
      <c r="C39" t="s">
        <v>39</v>
      </c>
      <c r="D39" s="3">
        <v>30000</v>
      </c>
      <c r="E39">
        <v>0</v>
      </c>
      <c r="F39" t="s">
        <v>19</v>
      </c>
      <c r="G39" t="s">
        <v>20</v>
      </c>
      <c r="H39" t="s">
        <v>18</v>
      </c>
      <c r="I39">
        <v>1</v>
      </c>
      <c r="J39" t="s">
        <v>22</v>
      </c>
      <c r="K39" t="s">
        <v>17</v>
      </c>
      <c r="L39">
        <v>30</v>
      </c>
      <c r="M39" t="str">
        <f t="shared" si="0"/>
        <v>25–30</v>
      </c>
      <c r="N39" t="s">
        <v>18</v>
      </c>
    </row>
    <row r="40" spans="1:14" x14ac:dyDescent="0.25">
      <c r="A40">
        <v>26863</v>
      </c>
      <c r="B40" t="s">
        <v>38</v>
      </c>
      <c r="C40" t="s">
        <v>40</v>
      </c>
      <c r="D40" s="3">
        <v>20000</v>
      </c>
      <c r="E40">
        <v>0</v>
      </c>
      <c r="F40" t="s">
        <v>27</v>
      </c>
      <c r="G40" t="s">
        <v>25</v>
      </c>
      <c r="H40" t="s">
        <v>18</v>
      </c>
      <c r="I40">
        <v>1</v>
      </c>
      <c r="J40" t="s">
        <v>22</v>
      </c>
      <c r="K40" t="s">
        <v>17</v>
      </c>
      <c r="L40">
        <v>28</v>
      </c>
      <c r="M40" t="str">
        <f t="shared" si="0"/>
        <v>25–30</v>
      </c>
      <c r="N40" t="s">
        <v>18</v>
      </c>
    </row>
    <row r="41" spans="1:14" x14ac:dyDescent="0.2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38</v>
      </c>
      <c r="C43" t="s">
        <v>39</v>
      </c>
      <c r="D43" s="3">
        <v>40000</v>
      </c>
      <c r="E43">
        <v>2</v>
      </c>
      <c r="F43" t="s">
        <v>13</v>
      </c>
      <c r="G43" t="s">
        <v>28</v>
      </c>
      <c r="H43" t="s">
        <v>15</v>
      </c>
      <c r="I43">
        <v>2</v>
      </c>
      <c r="J43" t="s">
        <v>23</v>
      </c>
      <c r="K43" t="s">
        <v>24</v>
      </c>
      <c r="L43">
        <v>65</v>
      </c>
      <c r="M43" t="str">
        <f t="shared" si="0"/>
        <v>55+</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55+</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25">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25">
      <c r="A52">
        <v>13826</v>
      </c>
      <c r="B52" t="s">
        <v>38</v>
      </c>
      <c r="C52" t="s">
        <v>39</v>
      </c>
      <c r="D52" s="3">
        <v>30000</v>
      </c>
      <c r="E52">
        <v>0</v>
      </c>
      <c r="F52" t="s">
        <v>19</v>
      </c>
      <c r="G52" t="s">
        <v>20</v>
      </c>
      <c r="H52" t="s">
        <v>18</v>
      </c>
      <c r="I52">
        <v>1</v>
      </c>
      <c r="J52" t="s">
        <v>16</v>
      </c>
      <c r="K52" t="s">
        <v>17</v>
      </c>
      <c r="L52">
        <v>28</v>
      </c>
      <c r="M52" t="str">
        <f t="shared" si="0"/>
        <v>25–30</v>
      </c>
      <c r="N52" t="s">
        <v>18</v>
      </c>
    </row>
    <row r="53" spans="1:14" x14ac:dyDescent="0.25">
      <c r="A53">
        <v>20619</v>
      </c>
      <c r="B53" t="s">
        <v>38</v>
      </c>
      <c r="C53" t="s">
        <v>40</v>
      </c>
      <c r="D53" s="3">
        <v>80000</v>
      </c>
      <c r="E53">
        <v>0</v>
      </c>
      <c r="F53" t="s">
        <v>13</v>
      </c>
      <c r="G53" t="s">
        <v>21</v>
      </c>
      <c r="H53" t="s">
        <v>18</v>
      </c>
      <c r="I53">
        <v>4</v>
      </c>
      <c r="J53" t="s">
        <v>47</v>
      </c>
      <c r="K53" t="s">
        <v>24</v>
      </c>
      <c r="L53">
        <v>35</v>
      </c>
      <c r="M53" t="str">
        <f t="shared" si="0"/>
        <v>Middle Age</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55+</v>
      </c>
      <c r="N54" t="s">
        <v>18</v>
      </c>
    </row>
    <row r="55" spans="1:14" x14ac:dyDescent="0.25">
      <c r="A55">
        <v>24871</v>
      </c>
      <c r="B55" t="s">
        <v>38</v>
      </c>
      <c r="C55" t="s">
        <v>39</v>
      </c>
      <c r="D55" s="3">
        <v>90000</v>
      </c>
      <c r="E55">
        <v>4</v>
      </c>
      <c r="F55" t="s">
        <v>27</v>
      </c>
      <c r="G55" t="s">
        <v>28</v>
      </c>
      <c r="H55" t="s">
        <v>18</v>
      </c>
      <c r="I55">
        <v>3</v>
      </c>
      <c r="J55" t="s">
        <v>23</v>
      </c>
      <c r="K55" t="s">
        <v>17</v>
      </c>
      <c r="L55">
        <v>56</v>
      </c>
      <c r="M55" t="str">
        <f t="shared" si="0"/>
        <v>55+</v>
      </c>
      <c r="N55" t="s">
        <v>18</v>
      </c>
    </row>
    <row r="56" spans="1:14" x14ac:dyDescent="0.2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40</v>
      </c>
      <c r="D57" s="3">
        <v>80000</v>
      </c>
      <c r="E57">
        <v>4</v>
      </c>
      <c r="F57" t="s">
        <v>27</v>
      </c>
      <c r="G57" t="s">
        <v>21</v>
      </c>
      <c r="H57" t="s">
        <v>15</v>
      </c>
      <c r="I57">
        <v>2</v>
      </c>
      <c r="J57" t="s">
        <v>47</v>
      </c>
      <c r="K57" t="s">
        <v>17</v>
      </c>
      <c r="L57">
        <v>54</v>
      </c>
      <c r="M57" t="str">
        <f t="shared" si="0"/>
        <v>Middle Age</v>
      </c>
      <c r="N57" t="s">
        <v>18</v>
      </c>
    </row>
    <row r="58" spans="1:14" x14ac:dyDescent="0.25">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40</v>
      </c>
      <c r="D59" s="3">
        <v>130000</v>
      </c>
      <c r="E59">
        <v>4</v>
      </c>
      <c r="F59" t="s">
        <v>19</v>
      </c>
      <c r="G59" t="s">
        <v>21</v>
      </c>
      <c r="H59" t="s">
        <v>18</v>
      </c>
      <c r="I59">
        <v>4</v>
      </c>
      <c r="J59" t="s">
        <v>23</v>
      </c>
      <c r="K59" t="s">
        <v>17</v>
      </c>
      <c r="L59">
        <v>61</v>
      </c>
      <c r="M59" t="str">
        <f t="shared" si="0"/>
        <v>55+</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2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25">
      <c r="A65">
        <v>16185</v>
      </c>
      <c r="B65" t="s">
        <v>38</v>
      </c>
      <c r="C65" t="s">
        <v>40</v>
      </c>
      <c r="D65" s="3">
        <v>60000</v>
      </c>
      <c r="E65">
        <v>4</v>
      </c>
      <c r="F65" t="s">
        <v>13</v>
      </c>
      <c r="G65" t="s">
        <v>21</v>
      </c>
      <c r="H65" t="s">
        <v>15</v>
      </c>
      <c r="I65">
        <v>3</v>
      </c>
      <c r="J65" t="s">
        <v>47</v>
      </c>
      <c r="K65" t="s">
        <v>24</v>
      </c>
      <c r="L65">
        <v>41</v>
      </c>
      <c r="M65" t="str">
        <f t="shared" si="0"/>
        <v>Middle Age</v>
      </c>
      <c r="N65" t="s">
        <v>18</v>
      </c>
    </row>
    <row r="66" spans="1:14" x14ac:dyDescent="0.2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38</v>
      </c>
      <c r="C67" t="s">
        <v>40</v>
      </c>
      <c r="D67" s="3">
        <v>30000</v>
      </c>
      <c r="E67">
        <v>2</v>
      </c>
      <c r="F67" t="s">
        <v>19</v>
      </c>
      <c r="G67" t="s">
        <v>20</v>
      </c>
      <c r="H67" t="s">
        <v>15</v>
      </c>
      <c r="I67">
        <v>2</v>
      </c>
      <c r="J67" t="s">
        <v>23</v>
      </c>
      <c r="K67" t="s">
        <v>24</v>
      </c>
      <c r="L67">
        <v>68</v>
      </c>
      <c r="M67" t="str">
        <f t="shared" ref="M67:M130" si="1">IF(L67&gt;54,"55+",IF(L67&gt;=31,"Middle Age",IF(L67&lt;31,"25–30","Invalid")))</f>
        <v>55+</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2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25–30</v>
      </c>
      <c r="N71" t="s">
        <v>18</v>
      </c>
    </row>
    <row r="72" spans="1:14" x14ac:dyDescent="0.25">
      <c r="A72">
        <v>14238</v>
      </c>
      <c r="B72" t="s">
        <v>37</v>
      </c>
      <c r="C72" t="s">
        <v>40</v>
      </c>
      <c r="D72" s="3">
        <v>120000</v>
      </c>
      <c r="E72">
        <v>0</v>
      </c>
      <c r="F72" t="s">
        <v>29</v>
      </c>
      <c r="G72" t="s">
        <v>21</v>
      </c>
      <c r="H72" t="s">
        <v>15</v>
      </c>
      <c r="I72">
        <v>4</v>
      </c>
      <c r="J72" t="s">
        <v>47</v>
      </c>
      <c r="K72" t="s">
        <v>24</v>
      </c>
      <c r="L72">
        <v>36</v>
      </c>
      <c r="M72" t="str">
        <f t="shared" si="1"/>
        <v>Middle Age</v>
      </c>
      <c r="N72" t="s">
        <v>15</v>
      </c>
    </row>
    <row r="73" spans="1:14" x14ac:dyDescent="0.2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55+</v>
      </c>
      <c r="N76" t="s">
        <v>18</v>
      </c>
    </row>
    <row r="77" spans="1:14" x14ac:dyDescent="0.2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38</v>
      </c>
      <c r="C78" t="s">
        <v>39</v>
      </c>
      <c r="D78" s="3">
        <v>20000</v>
      </c>
      <c r="E78">
        <v>0</v>
      </c>
      <c r="F78" t="s">
        <v>29</v>
      </c>
      <c r="G78" t="s">
        <v>25</v>
      </c>
      <c r="H78" t="s">
        <v>18</v>
      </c>
      <c r="I78">
        <v>2</v>
      </c>
      <c r="J78" t="s">
        <v>26</v>
      </c>
      <c r="K78" t="s">
        <v>17</v>
      </c>
      <c r="L78">
        <v>26</v>
      </c>
      <c r="M78" t="str">
        <f t="shared" si="1"/>
        <v>25–30</v>
      </c>
      <c r="N78" t="s">
        <v>18</v>
      </c>
    </row>
    <row r="79" spans="1:14" x14ac:dyDescent="0.25">
      <c r="A79">
        <v>27969</v>
      </c>
      <c r="B79" t="s">
        <v>37</v>
      </c>
      <c r="C79" t="s">
        <v>40</v>
      </c>
      <c r="D79" s="3">
        <v>80000</v>
      </c>
      <c r="E79">
        <v>0</v>
      </c>
      <c r="F79" t="s">
        <v>13</v>
      </c>
      <c r="G79" t="s">
        <v>21</v>
      </c>
      <c r="H79" t="s">
        <v>15</v>
      </c>
      <c r="I79">
        <v>2</v>
      </c>
      <c r="J79" t="s">
        <v>47</v>
      </c>
      <c r="K79" t="s">
        <v>24</v>
      </c>
      <c r="L79">
        <v>29</v>
      </c>
      <c r="M79" t="str">
        <f t="shared" si="1"/>
        <v>25–30</v>
      </c>
      <c r="N79" t="s">
        <v>15</v>
      </c>
    </row>
    <row r="80" spans="1:14" x14ac:dyDescent="0.25">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25">
      <c r="A81">
        <v>27745</v>
      </c>
      <c r="B81" t="s">
        <v>38</v>
      </c>
      <c r="C81" t="s">
        <v>40</v>
      </c>
      <c r="D81" s="3">
        <v>40000</v>
      </c>
      <c r="E81">
        <v>2</v>
      </c>
      <c r="F81" t="s">
        <v>13</v>
      </c>
      <c r="G81" t="s">
        <v>28</v>
      </c>
      <c r="H81" t="s">
        <v>15</v>
      </c>
      <c r="I81">
        <v>2</v>
      </c>
      <c r="J81" t="s">
        <v>23</v>
      </c>
      <c r="K81" t="s">
        <v>24</v>
      </c>
      <c r="L81">
        <v>63</v>
      </c>
      <c r="M81" t="str">
        <f t="shared" si="1"/>
        <v>55+</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25">
      <c r="A85">
        <v>28412</v>
      </c>
      <c r="B85" t="s">
        <v>38</v>
      </c>
      <c r="C85" t="s">
        <v>40</v>
      </c>
      <c r="D85" s="3">
        <v>20000</v>
      </c>
      <c r="E85">
        <v>0</v>
      </c>
      <c r="F85" t="s">
        <v>27</v>
      </c>
      <c r="G85" t="s">
        <v>25</v>
      </c>
      <c r="H85" t="s">
        <v>18</v>
      </c>
      <c r="I85">
        <v>1</v>
      </c>
      <c r="J85" t="s">
        <v>22</v>
      </c>
      <c r="K85" t="s">
        <v>17</v>
      </c>
      <c r="L85">
        <v>29</v>
      </c>
      <c r="M85" t="str">
        <f t="shared" si="1"/>
        <v>25–30</v>
      </c>
      <c r="N85" t="s">
        <v>18</v>
      </c>
    </row>
    <row r="86" spans="1:14" x14ac:dyDescent="0.25">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25">
      <c r="A87">
        <v>16514</v>
      </c>
      <c r="B87" t="s">
        <v>38</v>
      </c>
      <c r="C87" t="s">
        <v>40</v>
      </c>
      <c r="D87" s="3">
        <v>10000</v>
      </c>
      <c r="E87">
        <v>0</v>
      </c>
      <c r="F87" t="s">
        <v>19</v>
      </c>
      <c r="G87" t="s">
        <v>25</v>
      </c>
      <c r="H87" t="s">
        <v>15</v>
      </c>
      <c r="I87">
        <v>1</v>
      </c>
      <c r="J87" t="s">
        <v>26</v>
      </c>
      <c r="K87" t="s">
        <v>24</v>
      </c>
      <c r="L87">
        <v>26</v>
      </c>
      <c r="M87" t="str">
        <f t="shared" si="1"/>
        <v>25–30</v>
      </c>
      <c r="N87" t="s">
        <v>15</v>
      </c>
    </row>
    <row r="88" spans="1:14" x14ac:dyDescent="0.25">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25">
      <c r="A90">
        <v>24119</v>
      </c>
      <c r="B90" t="s">
        <v>38</v>
      </c>
      <c r="C90" t="s">
        <v>40</v>
      </c>
      <c r="D90" s="3">
        <v>30000</v>
      </c>
      <c r="E90">
        <v>0</v>
      </c>
      <c r="F90" t="s">
        <v>19</v>
      </c>
      <c r="G90" t="s">
        <v>20</v>
      </c>
      <c r="H90" t="s">
        <v>18</v>
      </c>
      <c r="I90">
        <v>1</v>
      </c>
      <c r="J90" t="s">
        <v>22</v>
      </c>
      <c r="K90" t="s">
        <v>17</v>
      </c>
      <c r="L90">
        <v>29</v>
      </c>
      <c r="M90" t="str">
        <f t="shared" si="1"/>
        <v>25–30</v>
      </c>
      <c r="N90" t="s">
        <v>18</v>
      </c>
    </row>
    <row r="91" spans="1:14" x14ac:dyDescent="0.25">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25">
      <c r="A92">
        <v>26886</v>
      </c>
      <c r="B92" t="s">
        <v>38</v>
      </c>
      <c r="C92" t="s">
        <v>39</v>
      </c>
      <c r="D92" s="3">
        <v>30000</v>
      </c>
      <c r="E92">
        <v>0</v>
      </c>
      <c r="F92" t="s">
        <v>19</v>
      </c>
      <c r="G92" t="s">
        <v>20</v>
      </c>
      <c r="H92" t="s">
        <v>18</v>
      </c>
      <c r="I92">
        <v>1</v>
      </c>
      <c r="J92" t="s">
        <v>16</v>
      </c>
      <c r="K92" t="s">
        <v>17</v>
      </c>
      <c r="L92">
        <v>29</v>
      </c>
      <c r="M92" t="str">
        <f t="shared" si="1"/>
        <v>25–30</v>
      </c>
      <c r="N92" t="s">
        <v>15</v>
      </c>
    </row>
    <row r="93" spans="1:14" x14ac:dyDescent="0.25">
      <c r="A93">
        <v>28436</v>
      </c>
      <c r="B93" t="s">
        <v>38</v>
      </c>
      <c r="C93" t="s">
        <v>40</v>
      </c>
      <c r="D93" s="3">
        <v>30000</v>
      </c>
      <c r="E93">
        <v>0</v>
      </c>
      <c r="F93" t="s">
        <v>19</v>
      </c>
      <c r="G93" t="s">
        <v>20</v>
      </c>
      <c r="H93" t="s">
        <v>18</v>
      </c>
      <c r="I93">
        <v>1</v>
      </c>
      <c r="J93" t="s">
        <v>16</v>
      </c>
      <c r="K93" t="s">
        <v>17</v>
      </c>
      <c r="L93">
        <v>30</v>
      </c>
      <c r="M93" t="str">
        <f t="shared" si="1"/>
        <v>25–30</v>
      </c>
      <c r="N93" t="s">
        <v>15</v>
      </c>
    </row>
    <row r="94" spans="1:14" x14ac:dyDescent="0.2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38</v>
      </c>
      <c r="C96" t="s">
        <v>39</v>
      </c>
      <c r="D96" s="3">
        <v>30000</v>
      </c>
      <c r="E96">
        <v>3</v>
      </c>
      <c r="F96" t="s">
        <v>27</v>
      </c>
      <c r="G96" t="s">
        <v>14</v>
      </c>
      <c r="H96" t="s">
        <v>15</v>
      </c>
      <c r="I96">
        <v>2</v>
      </c>
      <c r="J96" t="s">
        <v>23</v>
      </c>
      <c r="K96" t="s">
        <v>24</v>
      </c>
      <c r="L96">
        <v>55</v>
      </c>
      <c r="M96" t="str">
        <f t="shared" si="1"/>
        <v>55+</v>
      </c>
      <c r="N96" t="s">
        <v>18</v>
      </c>
    </row>
    <row r="97" spans="1:14" x14ac:dyDescent="0.25">
      <c r="A97">
        <v>17197</v>
      </c>
      <c r="B97" t="s">
        <v>38</v>
      </c>
      <c r="C97" t="s">
        <v>39</v>
      </c>
      <c r="D97" s="3">
        <v>90000</v>
      </c>
      <c r="E97">
        <v>5</v>
      </c>
      <c r="F97" t="s">
        <v>19</v>
      </c>
      <c r="G97" t="s">
        <v>21</v>
      </c>
      <c r="H97" t="s">
        <v>15</v>
      </c>
      <c r="I97">
        <v>2</v>
      </c>
      <c r="J97" t="s">
        <v>47</v>
      </c>
      <c r="K97" t="s">
        <v>17</v>
      </c>
      <c r="L97">
        <v>62</v>
      </c>
      <c r="M97" t="str">
        <f t="shared" si="1"/>
        <v>55+</v>
      </c>
      <c r="N97" t="s">
        <v>18</v>
      </c>
    </row>
    <row r="98" spans="1:14" x14ac:dyDescent="0.25">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40</v>
      </c>
      <c r="D100" s="3">
        <v>40000</v>
      </c>
      <c r="E100">
        <v>0</v>
      </c>
      <c r="F100" t="s">
        <v>31</v>
      </c>
      <c r="G100" t="s">
        <v>20</v>
      </c>
      <c r="H100" t="s">
        <v>15</v>
      </c>
      <c r="I100">
        <v>0</v>
      </c>
      <c r="J100" t="s">
        <v>16</v>
      </c>
      <c r="K100" t="s">
        <v>17</v>
      </c>
      <c r="L100">
        <v>25</v>
      </c>
      <c r="M100" t="str">
        <f t="shared" si="1"/>
        <v>25–30</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39</v>
      </c>
      <c r="D107" s="3">
        <v>30000</v>
      </c>
      <c r="E107">
        <v>0</v>
      </c>
      <c r="F107" t="s">
        <v>19</v>
      </c>
      <c r="G107" t="s">
        <v>20</v>
      </c>
      <c r="H107" t="s">
        <v>18</v>
      </c>
      <c r="I107">
        <v>1</v>
      </c>
      <c r="J107" t="s">
        <v>22</v>
      </c>
      <c r="K107" t="s">
        <v>17</v>
      </c>
      <c r="L107">
        <v>30</v>
      </c>
      <c r="M107" t="str">
        <f t="shared" si="1"/>
        <v>25–30</v>
      </c>
      <c r="N107" t="s">
        <v>18</v>
      </c>
    </row>
    <row r="108" spans="1:14" x14ac:dyDescent="0.25">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40</v>
      </c>
      <c r="D116" s="3">
        <v>20000</v>
      </c>
      <c r="E116">
        <v>0</v>
      </c>
      <c r="F116" t="s">
        <v>13</v>
      </c>
      <c r="G116" t="s">
        <v>20</v>
      </c>
      <c r="H116" t="s">
        <v>15</v>
      </c>
      <c r="I116">
        <v>0</v>
      </c>
      <c r="J116" t="s">
        <v>16</v>
      </c>
      <c r="K116" t="s">
        <v>24</v>
      </c>
      <c r="L116">
        <v>26</v>
      </c>
      <c r="M116" t="str">
        <f t="shared" si="1"/>
        <v>25–30</v>
      </c>
      <c r="N116" t="s">
        <v>15</v>
      </c>
    </row>
    <row r="117" spans="1:14" x14ac:dyDescent="0.25">
      <c r="A117">
        <v>24140</v>
      </c>
      <c r="B117" t="s">
        <v>38</v>
      </c>
      <c r="C117" t="s">
        <v>40</v>
      </c>
      <c r="D117" s="3">
        <v>10000</v>
      </c>
      <c r="E117">
        <v>0</v>
      </c>
      <c r="F117" t="s">
        <v>31</v>
      </c>
      <c r="G117" t="s">
        <v>25</v>
      </c>
      <c r="H117" t="s">
        <v>18</v>
      </c>
      <c r="I117">
        <v>0</v>
      </c>
      <c r="J117" t="s">
        <v>16</v>
      </c>
      <c r="K117" t="s">
        <v>17</v>
      </c>
      <c r="L117">
        <v>30</v>
      </c>
      <c r="M117" t="str">
        <f t="shared" si="1"/>
        <v>25–30</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40</v>
      </c>
      <c r="D120" s="3">
        <v>80000</v>
      </c>
      <c r="E120">
        <v>5</v>
      </c>
      <c r="F120" t="s">
        <v>13</v>
      </c>
      <c r="G120" t="s">
        <v>28</v>
      </c>
      <c r="H120" t="s">
        <v>15</v>
      </c>
      <c r="I120">
        <v>2</v>
      </c>
      <c r="J120" t="s">
        <v>22</v>
      </c>
      <c r="K120" t="s">
        <v>17</v>
      </c>
      <c r="L120">
        <v>62</v>
      </c>
      <c r="M120" t="str">
        <f t="shared" si="1"/>
        <v>55+</v>
      </c>
      <c r="N120" t="s">
        <v>18</v>
      </c>
    </row>
    <row r="121" spans="1:14" x14ac:dyDescent="0.25">
      <c r="A121">
        <v>12871</v>
      </c>
      <c r="B121" t="s">
        <v>38</v>
      </c>
      <c r="C121" t="s">
        <v>39</v>
      </c>
      <c r="D121" s="3">
        <v>30000</v>
      </c>
      <c r="E121">
        <v>0</v>
      </c>
      <c r="F121" t="s">
        <v>19</v>
      </c>
      <c r="G121" t="s">
        <v>20</v>
      </c>
      <c r="H121" t="s">
        <v>18</v>
      </c>
      <c r="I121">
        <v>1</v>
      </c>
      <c r="J121" t="s">
        <v>22</v>
      </c>
      <c r="K121" t="s">
        <v>17</v>
      </c>
      <c r="L121">
        <v>29</v>
      </c>
      <c r="M121" t="str">
        <f t="shared" si="1"/>
        <v>25–30</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55+</v>
      </c>
      <c r="N122" t="s">
        <v>15</v>
      </c>
    </row>
    <row r="123" spans="1:14" x14ac:dyDescent="0.25">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38</v>
      </c>
      <c r="C125" t="s">
        <v>39</v>
      </c>
      <c r="D125" s="3">
        <v>100000</v>
      </c>
      <c r="E125">
        <v>3</v>
      </c>
      <c r="F125" t="s">
        <v>19</v>
      </c>
      <c r="G125" t="s">
        <v>28</v>
      </c>
      <c r="H125" t="s">
        <v>18</v>
      </c>
      <c r="I125">
        <v>4</v>
      </c>
      <c r="J125" t="s">
        <v>23</v>
      </c>
      <c r="K125" t="s">
        <v>17</v>
      </c>
      <c r="L125">
        <v>56</v>
      </c>
      <c r="M125" t="str">
        <f t="shared" si="1"/>
        <v>55+</v>
      </c>
      <c r="N125" t="s">
        <v>18</v>
      </c>
    </row>
    <row r="126" spans="1:14" x14ac:dyDescent="0.2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40</v>
      </c>
      <c r="D131" s="3">
        <v>10000</v>
      </c>
      <c r="E131">
        <v>3</v>
      </c>
      <c r="F131" t="s">
        <v>27</v>
      </c>
      <c r="G131" t="s">
        <v>25</v>
      </c>
      <c r="H131" t="s">
        <v>15</v>
      </c>
      <c r="I131">
        <v>1</v>
      </c>
      <c r="J131" t="s">
        <v>16</v>
      </c>
      <c r="K131" t="s">
        <v>17</v>
      </c>
      <c r="L131">
        <v>39</v>
      </c>
      <c r="M131" t="str">
        <f t="shared" ref="M131:M194" si="2">IF(L131&gt;54,"55+",IF(L131&gt;=31,"Middle Age",IF(L131&lt;31,"25–30","Invalid")))</f>
        <v>Middle Age</v>
      </c>
      <c r="N131" t="s">
        <v>15</v>
      </c>
    </row>
    <row r="132" spans="1:14" x14ac:dyDescent="0.25">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40</v>
      </c>
      <c r="D133" s="3">
        <v>90000</v>
      </c>
      <c r="E133">
        <v>4</v>
      </c>
      <c r="F133" t="s">
        <v>27</v>
      </c>
      <c r="G133" t="s">
        <v>28</v>
      </c>
      <c r="H133" t="s">
        <v>15</v>
      </c>
      <c r="I133">
        <v>3</v>
      </c>
      <c r="J133" t="s">
        <v>23</v>
      </c>
      <c r="K133" t="s">
        <v>17</v>
      </c>
      <c r="L133">
        <v>56</v>
      </c>
      <c r="M133" t="str">
        <f t="shared" si="2"/>
        <v>55+</v>
      </c>
      <c r="N133" t="s">
        <v>15</v>
      </c>
    </row>
    <row r="134" spans="1:14" x14ac:dyDescent="0.25">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40</v>
      </c>
      <c r="D135" s="3">
        <v>40000</v>
      </c>
      <c r="E135">
        <v>2</v>
      </c>
      <c r="F135" t="s">
        <v>13</v>
      </c>
      <c r="G135" t="s">
        <v>28</v>
      </c>
      <c r="H135" t="s">
        <v>15</v>
      </c>
      <c r="I135">
        <v>2</v>
      </c>
      <c r="J135" t="s">
        <v>23</v>
      </c>
      <c r="K135" t="s">
        <v>24</v>
      </c>
      <c r="L135">
        <v>65</v>
      </c>
      <c r="M135" t="str">
        <f t="shared" si="2"/>
        <v>55+</v>
      </c>
      <c r="N135" t="s">
        <v>15</v>
      </c>
    </row>
    <row r="136" spans="1:14" x14ac:dyDescent="0.2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55+</v>
      </c>
      <c r="N140" t="s">
        <v>15</v>
      </c>
    </row>
    <row r="141" spans="1:14" x14ac:dyDescent="0.25">
      <c r="A141">
        <v>26547</v>
      </c>
      <c r="B141" t="s">
        <v>38</v>
      </c>
      <c r="C141" t="s">
        <v>39</v>
      </c>
      <c r="D141" s="3">
        <v>30000</v>
      </c>
      <c r="E141">
        <v>2</v>
      </c>
      <c r="F141" t="s">
        <v>19</v>
      </c>
      <c r="G141" t="s">
        <v>20</v>
      </c>
      <c r="H141" t="s">
        <v>18</v>
      </c>
      <c r="I141">
        <v>2</v>
      </c>
      <c r="J141" t="s">
        <v>23</v>
      </c>
      <c r="K141" t="s">
        <v>24</v>
      </c>
      <c r="L141">
        <v>60</v>
      </c>
      <c r="M141" t="str">
        <f t="shared" si="2"/>
        <v>55+</v>
      </c>
      <c r="N141" t="s">
        <v>15</v>
      </c>
    </row>
    <row r="142" spans="1:14" x14ac:dyDescent="0.25">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39</v>
      </c>
      <c r="D143" s="3">
        <v>10000</v>
      </c>
      <c r="E143">
        <v>0</v>
      </c>
      <c r="F143" t="s">
        <v>19</v>
      </c>
      <c r="G143" t="s">
        <v>25</v>
      </c>
      <c r="H143" t="s">
        <v>18</v>
      </c>
      <c r="I143">
        <v>1</v>
      </c>
      <c r="J143" t="s">
        <v>16</v>
      </c>
      <c r="K143" t="s">
        <v>24</v>
      </c>
      <c r="L143">
        <v>26</v>
      </c>
      <c r="M143" t="str">
        <f t="shared" si="2"/>
        <v>25–30</v>
      </c>
      <c r="N143" t="s">
        <v>15</v>
      </c>
    </row>
    <row r="144" spans="1:14" x14ac:dyDescent="0.25">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40</v>
      </c>
      <c r="D150" s="3">
        <v>20000</v>
      </c>
      <c r="E150">
        <v>4</v>
      </c>
      <c r="F150" t="s">
        <v>27</v>
      </c>
      <c r="G150" t="s">
        <v>14</v>
      </c>
      <c r="H150" t="s">
        <v>15</v>
      </c>
      <c r="I150">
        <v>2</v>
      </c>
      <c r="J150" t="s">
        <v>23</v>
      </c>
      <c r="K150" t="s">
        <v>24</v>
      </c>
      <c r="L150">
        <v>60</v>
      </c>
      <c r="M150" t="str">
        <f t="shared" si="2"/>
        <v>55+</v>
      </c>
      <c r="N150" t="s">
        <v>18</v>
      </c>
    </row>
    <row r="151" spans="1:14" x14ac:dyDescent="0.25">
      <c r="A151">
        <v>12728</v>
      </c>
      <c r="B151" t="s">
        <v>38</v>
      </c>
      <c r="C151" t="s">
        <v>40</v>
      </c>
      <c r="D151" s="3">
        <v>30000</v>
      </c>
      <c r="E151">
        <v>0</v>
      </c>
      <c r="F151" t="s">
        <v>19</v>
      </c>
      <c r="G151" t="s">
        <v>20</v>
      </c>
      <c r="H151" t="s">
        <v>18</v>
      </c>
      <c r="I151">
        <v>1</v>
      </c>
      <c r="J151" t="s">
        <v>26</v>
      </c>
      <c r="K151" t="s">
        <v>17</v>
      </c>
      <c r="L151">
        <v>27</v>
      </c>
      <c r="M151" t="str">
        <f t="shared" si="2"/>
        <v>25–30</v>
      </c>
      <c r="N151" t="s">
        <v>18</v>
      </c>
    </row>
    <row r="152" spans="1:14" x14ac:dyDescent="0.25">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55+</v>
      </c>
      <c r="N158" t="s">
        <v>18</v>
      </c>
    </row>
    <row r="159" spans="1:14" x14ac:dyDescent="0.25">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40</v>
      </c>
      <c r="D166" s="3">
        <v>10000</v>
      </c>
      <c r="E166">
        <v>0</v>
      </c>
      <c r="F166" t="s">
        <v>19</v>
      </c>
      <c r="G166" t="s">
        <v>25</v>
      </c>
      <c r="H166" t="s">
        <v>15</v>
      </c>
      <c r="I166">
        <v>1</v>
      </c>
      <c r="J166" t="s">
        <v>22</v>
      </c>
      <c r="K166" t="s">
        <v>24</v>
      </c>
      <c r="L166">
        <v>25</v>
      </c>
      <c r="M166" t="str">
        <f t="shared" si="2"/>
        <v>25–30</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25–30</v>
      </c>
      <c r="N167" t="s">
        <v>18</v>
      </c>
    </row>
    <row r="168" spans="1:14" x14ac:dyDescent="0.25">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40</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55+</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55+</v>
      </c>
      <c r="N173" t="s">
        <v>18</v>
      </c>
    </row>
    <row r="174" spans="1:14" x14ac:dyDescent="0.25">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25–30</v>
      </c>
      <c r="N175" t="s">
        <v>18</v>
      </c>
    </row>
    <row r="176" spans="1:14" x14ac:dyDescent="0.25">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39</v>
      </c>
      <c r="D178" s="3">
        <v>20000</v>
      </c>
      <c r="E178">
        <v>0</v>
      </c>
      <c r="F178" t="s">
        <v>19</v>
      </c>
      <c r="G178" t="s">
        <v>25</v>
      </c>
      <c r="H178" t="s">
        <v>15</v>
      </c>
      <c r="I178">
        <v>0</v>
      </c>
      <c r="J178" t="s">
        <v>16</v>
      </c>
      <c r="K178" t="s">
        <v>24</v>
      </c>
      <c r="L178">
        <v>29</v>
      </c>
      <c r="M178" t="str">
        <f t="shared" si="2"/>
        <v>25–30</v>
      </c>
      <c r="N178" t="s">
        <v>15</v>
      </c>
    </row>
    <row r="179" spans="1:14" x14ac:dyDescent="0.2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40</v>
      </c>
      <c r="D180" s="3">
        <v>160000</v>
      </c>
      <c r="E180">
        <v>4</v>
      </c>
      <c r="F180" t="s">
        <v>19</v>
      </c>
      <c r="G180" t="s">
        <v>21</v>
      </c>
      <c r="H180" t="s">
        <v>18</v>
      </c>
      <c r="I180">
        <v>2</v>
      </c>
      <c r="J180" t="s">
        <v>47</v>
      </c>
      <c r="K180" t="s">
        <v>17</v>
      </c>
      <c r="L180">
        <v>55</v>
      </c>
      <c r="M180" t="str">
        <f t="shared" si="2"/>
        <v>55+</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55+</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40</v>
      </c>
      <c r="D185" s="3">
        <v>40000</v>
      </c>
      <c r="E185">
        <v>2</v>
      </c>
      <c r="F185" t="s">
        <v>13</v>
      </c>
      <c r="G185" t="s">
        <v>28</v>
      </c>
      <c r="H185" t="s">
        <v>15</v>
      </c>
      <c r="I185">
        <v>2</v>
      </c>
      <c r="J185" t="s">
        <v>23</v>
      </c>
      <c r="K185" t="s">
        <v>24</v>
      </c>
      <c r="L185">
        <v>66</v>
      </c>
      <c r="M185" t="str">
        <f t="shared" si="2"/>
        <v>55+</v>
      </c>
      <c r="N185" t="s">
        <v>15</v>
      </c>
    </row>
    <row r="186" spans="1:14" x14ac:dyDescent="0.25">
      <c r="A186">
        <v>28918</v>
      </c>
      <c r="B186" t="s">
        <v>37</v>
      </c>
      <c r="C186" t="s">
        <v>39</v>
      </c>
      <c r="D186" s="3">
        <v>130000</v>
      </c>
      <c r="E186">
        <v>4</v>
      </c>
      <c r="F186" t="s">
        <v>27</v>
      </c>
      <c r="G186" t="s">
        <v>28</v>
      </c>
      <c r="H186" t="s">
        <v>18</v>
      </c>
      <c r="I186">
        <v>4</v>
      </c>
      <c r="J186" t="s">
        <v>47</v>
      </c>
      <c r="K186" t="s">
        <v>17</v>
      </c>
      <c r="L186">
        <v>58</v>
      </c>
      <c r="M186" t="str">
        <f t="shared" si="2"/>
        <v>55+</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55+</v>
      </c>
      <c r="N188" t="s">
        <v>15</v>
      </c>
    </row>
    <row r="189" spans="1:14" x14ac:dyDescent="0.25">
      <c r="A189">
        <v>18151</v>
      </c>
      <c r="B189" t="s">
        <v>38</v>
      </c>
      <c r="C189" t="s">
        <v>40</v>
      </c>
      <c r="D189" s="3">
        <v>80000</v>
      </c>
      <c r="E189">
        <v>5</v>
      </c>
      <c r="F189" t="s">
        <v>19</v>
      </c>
      <c r="G189" t="s">
        <v>21</v>
      </c>
      <c r="H189" t="s">
        <v>18</v>
      </c>
      <c r="I189">
        <v>2</v>
      </c>
      <c r="J189" t="s">
        <v>47</v>
      </c>
      <c r="K189" t="s">
        <v>17</v>
      </c>
      <c r="L189">
        <v>59</v>
      </c>
      <c r="M189" t="str">
        <f t="shared" si="2"/>
        <v>55+</v>
      </c>
      <c r="N189" t="s">
        <v>18</v>
      </c>
    </row>
    <row r="190" spans="1:14" x14ac:dyDescent="0.25">
      <c r="A190">
        <v>20606</v>
      </c>
      <c r="B190" t="s">
        <v>37</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40</v>
      </c>
      <c r="D192" s="3">
        <v>30000</v>
      </c>
      <c r="E192">
        <v>3</v>
      </c>
      <c r="F192" t="s">
        <v>27</v>
      </c>
      <c r="G192" t="s">
        <v>14</v>
      </c>
      <c r="H192" t="s">
        <v>15</v>
      </c>
      <c r="I192">
        <v>2</v>
      </c>
      <c r="J192" t="s">
        <v>23</v>
      </c>
      <c r="K192" t="s">
        <v>24</v>
      </c>
      <c r="L192">
        <v>55</v>
      </c>
      <c r="M192" t="str">
        <f t="shared" si="2"/>
        <v>55+</v>
      </c>
      <c r="N192" t="s">
        <v>18</v>
      </c>
    </row>
    <row r="193" spans="1:14" x14ac:dyDescent="0.25">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39</v>
      </c>
      <c r="D194" s="3">
        <v>80000</v>
      </c>
      <c r="E194">
        <v>5</v>
      </c>
      <c r="F194" t="s">
        <v>13</v>
      </c>
      <c r="G194" t="s">
        <v>28</v>
      </c>
      <c r="H194" t="s">
        <v>15</v>
      </c>
      <c r="I194">
        <v>2</v>
      </c>
      <c r="J194" t="s">
        <v>47</v>
      </c>
      <c r="K194" t="s">
        <v>17</v>
      </c>
      <c r="L194">
        <v>62</v>
      </c>
      <c r="M194" t="str">
        <f t="shared" si="2"/>
        <v>55+</v>
      </c>
      <c r="N194" t="s">
        <v>18</v>
      </c>
    </row>
    <row r="195" spans="1:14" x14ac:dyDescent="0.25">
      <c r="A195">
        <v>26032</v>
      </c>
      <c r="B195" t="s">
        <v>37</v>
      </c>
      <c r="C195" t="s">
        <v>39</v>
      </c>
      <c r="D195" s="3">
        <v>70000</v>
      </c>
      <c r="E195">
        <v>5</v>
      </c>
      <c r="F195" t="s">
        <v>13</v>
      </c>
      <c r="G195" t="s">
        <v>21</v>
      </c>
      <c r="H195" t="s">
        <v>15</v>
      </c>
      <c r="I195">
        <v>4</v>
      </c>
      <c r="J195" t="s">
        <v>47</v>
      </c>
      <c r="K195" t="s">
        <v>24</v>
      </c>
      <c r="L195">
        <v>41</v>
      </c>
      <c r="M195" t="str">
        <f t="shared" ref="M195:M258" si="3">IF(L195&gt;54,"55+",IF(L195&gt;=31,"Middle Age",IF(L195&lt;31,"25–30","Invalid")))</f>
        <v>Middle Age</v>
      </c>
      <c r="N195" t="s">
        <v>18</v>
      </c>
    </row>
    <row r="196" spans="1:14" x14ac:dyDescent="0.2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40</v>
      </c>
      <c r="D197" s="3">
        <v>20000</v>
      </c>
      <c r="E197">
        <v>0</v>
      </c>
      <c r="F197" t="s">
        <v>13</v>
      </c>
      <c r="G197" t="s">
        <v>20</v>
      </c>
      <c r="H197" t="s">
        <v>15</v>
      </c>
      <c r="I197">
        <v>0</v>
      </c>
      <c r="J197" t="s">
        <v>16</v>
      </c>
      <c r="K197" t="s">
        <v>24</v>
      </c>
      <c r="L197">
        <v>25</v>
      </c>
      <c r="M197" t="str">
        <f t="shared" si="3"/>
        <v>25–30</v>
      </c>
      <c r="N197" t="s">
        <v>15</v>
      </c>
    </row>
    <row r="198" spans="1:14" x14ac:dyDescent="0.2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40</v>
      </c>
      <c r="D199" s="3">
        <v>60000</v>
      </c>
      <c r="E199">
        <v>2</v>
      </c>
      <c r="F199" t="s">
        <v>31</v>
      </c>
      <c r="G199" t="s">
        <v>28</v>
      </c>
      <c r="H199" t="s">
        <v>15</v>
      </c>
      <c r="I199">
        <v>1</v>
      </c>
      <c r="J199" t="s">
        <v>16</v>
      </c>
      <c r="K199" t="s">
        <v>24</v>
      </c>
      <c r="L199">
        <v>67</v>
      </c>
      <c r="M199" t="str">
        <f t="shared" si="3"/>
        <v>55+</v>
      </c>
      <c r="N199" t="s">
        <v>15</v>
      </c>
    </row>
    <row r="200" spans="1:14" x14ac:dyDescent="0.2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40</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40</v>
      </c>
      <c r="D203" s="3">
        <v>10000</v>
      </c>
      <c r="E203">
        <v>1</v>
      </c>
      <c r="F203" t="s">
        <v>27</v>
      </c>
      <c r="G203" t="s">
        <v>25</v>
      </c>
      <c r="H203" t="s">
        <v>15</v>
      </c>
      <c r="I203">
        <v>0</v>
      </c>
      <c r="J203" t="s">
        <v>22</v>
      </c>
      <c r="K203" t="s">
        <v>24</v>
      </c>
      <c r="L203">
        <v>27</v>
      </c>
      <c r="M203" t="str">
        <f t="shared" si="3"/>
        <v>25–30</v>
      </c>
      <c r="N203" t="s">
        <v>15</v>
      </c>
    </row>
    <row r="204" spans="1:14" x14ac:dyDescent="0.25">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40</v>
      </c>
      <c r="D208" s="3">
        <v>90000</v>
      </c>
      <c r="E208">
        <v>5</v>
      </c>
      <c r="F208" t="s">
        <v>19</v>
      </c>
      <c r="G208" t="s">
        <v>21</v>
      </c>
      <c r="H208" t="s">
        <v>18</v>
      </c>
      <c r="I208">
        <v>2</v>
      </c>
      <c r="J208" t="s">
        <v>47</v>
      </c>
      <c r="K208" t="s">
        <v>17</v>
      </c>
      <c r="L208">
        <v>62</v>
      </c>
      <c r="M208" t="str">
        <f t="shared" si="3"/>
        <v>55+</v>
      </c>
      <c r="N208" t="s">
        <v>18</v>
      </c>
    </row>
    <row r="209" spans="1:14" x14ac:dyDescent="0.25">
      <c r="A209">
        <v>28729</v>
      </c>
      <c r="B209" t="s">
        <v>38</v>
      </c>
      <c r="C209" t="s">
        <v>39</v>
      </c>
      <c r="D209" s="3">
        <v>20000</v>
      </c>
      <c r="E209">
        <v>0</v>
      </c>
      <c r="F209" t="s">
        <v>29</v>
      </c>
      <c r="G209" t="s">
        <v>25</v>
      </c>
      <c r="H209" t="s">
        <v>15</v>
      </c>
      <c r="I209">
        <v>2</v>
      </c>
      <c r="J209" t="s">
        <v>26</v>
      </c>
      <c r="K209" t="s">
        <v>17</v>
      </c>
      <c r="L209">
        <v>26</v>
      </c>
      <c r="M209" t="str">
        <f t="shared" si="3"/>
        <v>25–30</v>
      </c>
      <c r="N209" t="s">
        <v>15</v>
      </c>
    </row>
    <row r="210" spans="1:14" x14ac:dyDescent="0.2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39</v>
      </c>
      <c r="D214" s="3">
        <v>30000</v>
      </c>
      <c r="E214">
        <v>0</v>
      </c>
      <c r="F214" t="s">
        <v>19</v>
      </c>
      <c r="G214" t="s">
        <v>20</v>
      </c>
      <c r="H214" t="s">
        <v>18</v>
      </c>
      <c r="I214">
        <v>1</v>
      </c>
      <c r="J214" t="s">
        <v>22</v>
      </c>
      <c r="K214" t="s">
        <v>17</v>
      </c>
      <c r="L214">
        <v>30</v>
      </c>
      <c r="M214" t="str">
        <f t="shared" si="3"/>
        <v>25–30</v>
      </c>
      <c r="N214" t="s">
        <v>18</v>
      </c>
    </row>
    <row r="215" spans="1:14" x14ac:dyDescent="0.25">
      <c r="A215">
        <v>11451</v>
      </c>
      <c r="B215" t="s">
        <v>38</v>
      </c>
      <c r="C215" t="s">
        <v>40</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37</v>
      </c>
      <c r="C216" t="s">
        <v>40</v>
      </c>
      <c r="D216" s="3">
        <v>30000</v>
      </c>
      <c r="E216">
        <v>1</v>
      </c>
      <c r="F216" t="s">
        <v>13</v>
      </c>
      <c r="G216" t="s">
        <v>20</v>
      </c>
      <c r="H216" t="s">
        <v>15</v>
      </c>
      <c r="I216">
        <v>0</v>
      </c>
      <c r="J216" t="s">
        <v>16</v>
      </c>
      <c r="K216" t="s">
        <v>17</v>
      </c>
      <c r="L216">
        <v>65</v>
      </c>
      <c r="M216" t="str">
        <f t="shared" si="3"/>
        <v>55+</v>
      </c>
      <c r="N216" t="s">
        <v>15</v>
      </c>
    </row>
    <row r="217" spans="1:14" x14ac:dyDescent="0.25">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39</v>
      </c>
      <c r="D219" s="3">
        <v>20000</v>
      </c>
      <c r="E219">
        <v>0</v>
      </c>
      <c r="F219" t="s">
        <v>29</v>
      </c>
      <c r="G219" t="s">
        <v>25</v>
      </c>
      <c r="H219" t="s">
        <v>18</v>
      </c>
      <c r="I219">
        <v>2</v>
      </c>
      <c r="J219" t="s">
        <v>16</v>
      </c>
      <c r="K219" t="s">
        <v>17</v>
      </c>
      <c r="L219">
        <v>25</v>
      </c>
      <c r="M219" t="str">
        <f t="shared" si="3"/>
        <v>25–30</v>
      </c>
      <c r="N219" t="s">
        <v>18</v>
      </c>
    </row>
    <row r="220" spans="1:14" x14ac:dyDescent="0.25">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40</v>
      </c>
      <c r="D221" s="3">
        <v>10000</v>
      </c>
      <c r="E221">
        <v>0</v>
      </c>
      <c r="F221" t="s">
        <v>19</v>
      </c>
      <c r="G221" t="s">
        <v>25</v>
      </c>
      <c r="H221" t="s">
        <v>15</v>
      </c>
      <c r="I221">
        <v>1</v>
      </c>
      <c r="J221" t="s">
        <v>26</v>
      </c>
      <c r="K221" t="s">
        <v>24</v>
      </c>
      <c r="L221">
        <v>26</v>
      </c>
      <c r="M221" t="str">
        <f t="shared" si="3"/>
        <v>25–30</v>
      </c>
      <c r="N221" t="s">
        <v>15</v>
      </c>
    </row>
    <row r="222" spans="1:14" x14ac:dyDescent="0.25">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55+</v>
      </c>
      <c r="N226" t="s">
        <v>18</v>
      </c>
    </row>
    <row r="227" spans="1:14" x14ac:dyDescent="0.25">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40</v>
      </c>
      <c r="D231" s="3">
        <v>80000</v>
      </c>
      <c r="E231">
        <v>5</v>
      </c>
      <c r="F231" t="s">
        <v>27</v>
      </c>
      <c r="G231" t="s">
        <v>28</v>
      </c>
      <c r="H231" t="s">
        <v>15</v>
      </c>
      <c r="I231">
        <v>3</v>
      </c>
      <c r="J231" t="s">
        <v>47</v>
      </c>
      <c r="K231" t="s">
        <v>17</v>
      </c>
      <c r="L231">
        <v>57</v>
      </c>
      <c r="M231" t="str">
        <f t="shared" si="3"/>
        <v>55+</v>
      </c>
      <c r="N231" t="s">
        <v>18</v>
      </c>
    </row>
    <row r="232" spans="1:14" x14ac:dyDescent="0.25">
      <c r="A232">
        <v>22830</v>
      </c>
      <c r="B232" t="s">
        <v>37</v>
      </c>
      <c r="C232" t="s">
        <v>40</v>
      </c>
      <c r="D232" s="3">
        <v>120000</v>
      </c>
      <c r="E232">
        <v>4</v>
      </c>
      <c r="F232" t="s">
        <v>19</v>
      </c>
      <c r="G232" t="s">
        <v>28</v>
      </c>
      <c r="H232" t="s">
        <v>15</v>
      </c>
      <c r="I232">
        <v>3</v>
      </c>
      <c r="J232" t="s">
        <v>47</v>
      </c>
      <c r="K232" t="s">
        <v>17</v>
      </c>
      <c r="L232">
        <v>56</v>
      </c>
      <c r="M232" t="str">
        <f t="shared" si="3"/>
        <v>55+</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40</v>
      </c>
      <c r="D235" s="3">
        <v>20000</v>
      </c>
      <c r="E235">
        <v>0</v>
      </c>
      <c r="F235" t="s">
        <v>13</v>
      </c>
      <c r="G235" t="s">
        <v>20</v>
      </c>
      <c r="H235" t="s">
        <v>15</v>
      </c>
      <c r="I235">
        <v>0</v>
      </c>
      <c r="J235" t="s">
        <v>16</v>
      </c>
      <c r="K235" t="s">
        <v>24</v>
      </c>
      <c r="L235">
        <v>27</v>
      </c>
      <c r="M235" t="str">
        <f t="shared" si="3"/>
        <v>25–30</v>
      </c>
      <c r="N235" t="s">
        <v>15</v>
      </c>
    </row>
    <row r="236" spans="1:14" x14ac:dyDescent="0.25">
      <c r="A236">
        <v>24611</v>
      </c>
      <c r="B236" t="s">
        <v>38</v>
      </c>
      <c r="C236" t="s">
        <v>40</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55+</v>
      </c>
      <c r="N237" t="s">
        <v>15</v>
      </c>
    </row>
    <row r="238" spans="1:14" x14ac:dyDescent="0.2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25–30</v>
      </c>
      <c r="N239" t="s">
        <v>15</v>
      </c>
    </row>
    <row r="240" spans="1:14" x14ac:dyDescent="0.25">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39</v>
      </c>
      <c r="D243" s="3">
        <v>30000</v>
      </c>
      <c r="E243">
        <v>3</v>
      </c>
      <c r="F243" t="s">
        <v>19</v>
      </c>
      <c r="G243" t="s">
        <v>20</v>
      </c>
      <c r="H243" t="s">
        <v>15</v>
      </c>
      <c r="I243">
        <v>2</v>
      </c>
      <c r="J243" t="s">
        <v>16</v>
      </c>
      <c r="K243" t="s">
        <v>17</v>
      </c>
      <c r="L243">
        <v>27</v>
      </c>
      <c r="M243" t="str">
        <f t="shared" si="3"/>
        <v>25–30</v>
      </c>
      <c r="N243" t="s">
        <v>18</v>
      </c>
    </row>
    <row r="244" spans="1:14" x14ac:dyDescent="0.25">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39</v>
      </c>
      <c r="D245" s="3">
        <v>20000</v>
      </c>
      <c r="E245">
        <v>0</v>
      </c>
      <c r="F245" t="s">
        <v>27</v>
      </c>
      <c r="G245" t="s">
        <v>25</v>
      </c>
      <c r="H245" t="s">
        <v>18</v>
      </c>
      <c r="I245">
        <v>1</v>
      </c>
      <c r="J245" t="s">
        <v>22</v>
      </c>
      <c r="K245" t="s">
        <v>17</v>
      </c>
      <c r="L245">
        <v>29</v>
      </c>
      <c r="M245" t="str">
        <f t="shared" si="3"/>
        <v>25–30</v>
      </c>
      <c r="N245" t="s">
        <v>18</v>
      </c>
    </row>
    <row r="246" spans="1:14" x14ac:dyDescent="0.25">
      <c r="A246">
        <v>19057</v>
      </c>
      <c r="B246" t="s">
        <v>37</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55+</v>
      </c>
      <c r="N250" t="s">
        <v>18</v>
      </c>
    </row>
    <row r="251" spans="1:14" x14ac:dyDescent="0.25">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40</v>
      </c>
      <c r="D252" s="3">
        <v>100000</v>
      </c>
      <c r="E252">
        <v>5</v>
      </c>
      <c r="F252" t="s">
        <v>31</v>
      </c>
      <c r="G252" t="s">
        <v>28</v>
      </c>
      <c r="H252" t="s">
        <v>18</v>
      </c>
      <c r="I252">
        <v>1</v>
      </c>
      <c r="J252" t="s">
        <v>26</v>
      </c>
      <c r="K252" t="s">
        <v>24</v>
      </c>
      <c r="L252">
        <v>78</v>
      </c>
      <c r="M252" t="str">
        <f t="shared" si="3"/>
        <v>55+</v>
      </c>
      <c r="N252" t="s">
        <v>15</v>
      </c>
    </row>
    <row r="253" spans="1:14" x14ac:dyDescent="0.25">
      <c r="A253">
        <v>18172</v>
      </c>
      <c r="B253" t="s">
        <v>37</v>
      </c>
      <c r="C253" t="s">
        <v>40</v>
      </c>
      <c r="D253" s="3">
        <v>130000</v>
      </c>
      <c r="E253">
        <v>4</v>
      </c>
      <c r="F253" t="s">
        <v>27</v>
      </c>
      <c r="G253" t="s">
        <v>21</v>
      </c>
      <c r="H253" t="s">
        <v>15</v>
      </c>
      <c r="I253">
        <v>3</v>
      </c>
      <c r="J253" t="s">
        <v>16</v>
      </c>
      <c r="K253" t="s">
        <v>17</v>
      </c>
      <c r="L253">
        <v>55</v>
      </c>
      <c r="M253" t="str">
        <f t="shared" si="3"/>
        <v>55+</v>
      </c>
      <c r="N253" t="s">
        <v>18</v>
      </c>
    </row>
    <row r="254" spans="1:14" x14ac:dyDescent="0.25">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40</v>
      </c>
      <c r="D255" s="3">
        <v>100000</v>
      </c>
      <c r="E255">
        <v>3</v>
      </c>
      <c r="F255" t="s">
        <v>29</v>
      </c>
      <c r="G255" t="s">
        <v>21</v>
      </c>
      <c r="H255" t="s">
        <v>15</v>
      </c>
      <c r="I255">
        <v>0</v>
      </c>
      <c r="J255" t="s">
        <v>47</v>
      </c>
      <c r="K255" t="s">
        <v>17</v>
      </c>
      <c r="L255">
        <v>59</v>
      </c>
      <c r="M255" t="str">
        <f t="shared" si="3"/>
        <v>55+</v>
      </c>
      <c r="N255" t="s">
        <v>15</v>
      </c>
    </row>
    <row r="256" spans="1:14" x14ac:dyDescent="0.25">
      <c r="A256">
        <v>21375</v>
      </c>
      <c r="B256" t="s">
        <v>38</v>
      </c>
      <c r="C256" t="s">
        <v>40</v>
      </c>
      <c r="D256" s="3">
        <v>20000</v>
      </c>
      <c r="E256">
        <v>2</v>
      </c>
      <c r="F256" t="s">
        <v>29</v>
      </c>
      <c r="G256" t="s">
        <v>20</v>
      </c>
      <c r="H256" t="s">
        <v>15</v>
      </c>
      <c r="I256">
        <v>2</v>
      </c>
      <c r="J256" t="s">
        <v>23</v>
      </c>
      <c r="K256" t="s">
        <v>24</v>
      </c>
      <c r="L256">
        <v>57</v>
      </c>
      <c r="M256" t="str">
        <f t="shared" si="3"/>
        <v>55+</v>
      </c>
      <c r="N256" t="s">
        <v>18</v>
      </c>
    </row>
    <row r="257" spans="1:14" x14ac:dyDescent="0.2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39</v>
      </c>
      <c r="D259" s="3">
        <v>50000</v>
      </c>
      <c r="E259">
        <v>0</v>
      </c>
      <c r="F259" t="s">
        <v>31</v>
      </c>
      <c r="G259" t="s">
        <v>14</v>
      </c>
      <c r="H259" t="s">
        <v>15</v>
      </c>
      <c r="I259">
        <v>0</v>
      </c>
      <c r="J259" t="s">
        <v>16</v>
      </c>
      <c r="K259" t="s">
        <v>17</v>
      </c>
      <c r="L259">
        <v>36</v>
      </c>
      <c r="M259" t="str">
        <f t="shared" ref="M259:M322" si="4">IF(L259&gt;54,"55+",IF(L259&gt;=31,"Middle Age",IF(L259&lt;31,"25–30","Invalid")))</f>
        <v>Middle Age</v>
      </c>
      <c r="N259" t="s">
        <v>15</v>
      </c>
    </row>
    <row r="260" spans="1:14" x14ac:dyDescent="0.25">
      <c r="A260">
        <v>14193</v>
      </c>
      <c r="B260" t="s">
        <v>38</v>
      </c>
      <c r="C260" t="s">
        <v>39</v>
      </c>
      <c r="D260" s="3">
        <v>100000</v>
      </c>
      <c r="E260">
        <v>3</v>
      </c>
      <c r="F260" t="s">
        <v>19</v>
      </c>
      <c r="G260" t="s">
        <v>28</v>
      </c>
      <c r="H260" t="s">
        <v>15</v>
      </c>
      <c r="I260">
        <v>4</v>
      </c>
      <c r="J260" t="s">
        <v>47</v>
      </c>
      <c r="K260" t="s">
        <v>17</v>
      </c>
      <c r="L260">
        <v>56</v>
      </c>
      <c r="M260" t="str">
        <f t="shared" si="4"/>
        <v>55+</v>
      </c>
      <c r="N260" t="s">
        <v>18</v>
      </c>
    </row>
    <row r="261" spans="1:14" x14ac:dyDescent="0.25">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39</v>
      </c>
      <c r="D268" s="3">
        <v>20000</v>
      </c>
      <c r="E268">
        <v>5</v>
      </c>
      <c r="F268" t="s">
        <v>27</v>
      </c>
      <c r="G268" t="s">
        <v>25</v>
      </c>
      <c r="H268" t="s">
        <v>15</v>
      </c>
      <c r="I268">
        <v>2</v>
      </c>
      <c r="J268" t="s">
        <v>16</v>
      </c>
      <c r="K268" t="s">
        <v>17</v>
      </c>
      <c r="L268">
        <v>27</v>
      </c>
      <c r="M268" t="str">
        <f t="shared" si="4"/>
        <v>25–30</v>
      </c>
      <c r="N268" t="s">
        <v>18</v>
      </c>
    </row>
    <row r="269" spans="1:14" x14ac:dyDescent="0.25">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39</v>
      </c>
      <c r="D273" s="3">
        <v>20000</v>
      </c>
      <c r="E273">
        <v>0</v>
      </c>
      <c r="F273" t="s">
        <v>27</v>
      </c>
      <c r="G273" t="s">
        <v>25</v>
      </c>
      <c r="H273" t="s">
        <v>18</v>
      </c>
      <c r="I273">
        <v>1</v>
      </c>
      <c r="J273" t="s">
        <v>26</v>
      </c>
      <c r="K273" t="s">
        <v>17</v>
      </c>
      <c r="L273">
        <v>28</v>
      </c>
      <c r="M273" t="str">
        <f t="shared" si="4"/>
        <v>25–30</v>
      </c>
      <c r="N273" t="s">
        <v>18</v>
      </c>
    </row>
    <row r="274" spans="1:14" x14ac:dyDescent="0.25">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39</v>
      </c>
      <c r="D275" s="3">
        <v>20000</v>
      </c>
      <c r="E275">
        <v>0</v>
      </c>
      <c r="F275" t="s">
        <v>27</v>
      </c>
      <c r="G275" t="s">
        <v>25</v>
      </c>
      <c r="H275" t="s">
        <v>18</v>
      </c>
      <c r="I275">
        <v>1</v>
      </c>
      <c r="J275" t="s">
        <v>22</v>
      </c>
      <c r="K275" t="s">
        <v>17</v>
      </c>
      <c r="L275">
        <v>30</v>
      </c>
      <c r="M275" t="str">
        <f t="shared" si="4"/>
        <v>25–30</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40</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55+</v>
      </c>
      <c r="N301" t="s">
        <v>18</v>
      </c>
    </row>
    <row r="302" spans="1:14" x14ac:dyDescent="0.25">
      <c r="A302">
        <v>25906</v>
      </c>
      <c r="B302" t="s">
        <v>38</v>
      </c>
      <c r="C302" t="s">
        <v>39</v>
      </c>
      <c r="D302" s="3">
        <v>10000</v>
      </c>
      <c r="E302">
        <v>5</v>
      </c>
      <c r="F302" t="s">
        <v>27</v>
      </c>
      <c r="G302" t="s">
        <v>14</v>
      </c>
      <c r="H302" t="s">
        <v>18</v>
      </c>
      <c r="I302">
        <v>2</v>
      </c>
      <c r="J302" t="s">
        <v>26</v>
      </c>
      <c r="K302" t="s">
        <v>24</v>
      </c>
      <c r="L302">
        <v>62</v>
      </c>
      <c r="M302" t="str">
        <f t="shared" si="4"/>
        <v>55+</v>
      </c>
      <c r="N302" t="s">
        <v>18</v>
      </c>
    </row>
    <row r="303" spans="1:14" x14ac:dyDescent="0.25">
      <c r="A303">
        <v>17926</v>
      </c>
      <c r="B303" t="s">
        <v>38</v>
      </c>
      <c r="C303" t="s">
        <v>39</v>
      </c>
      <c r="D303" s="3">
        <v>40000</v>
      </c>
      <c r="E303">
        <v>0</v>
      </c>
      <c r="F303" t="s">
        <v>13</v>
      </c>
      <c r="G303" t="s">
        <v>20</v>
      </c>
      <c r="H303" t="s">
        <v>18</v>
      </c>
      <c r="I303">
        <v>0</v>
      </c>
      <c r="J303" t="s">
        <v>16</v>
      </c>
      <c r="K303" t="s">
        <v>24</v>
      </c>
      <c r="L303">
        <v>28</v>
      </c>
      <c r="M303" t="str">
        <f t="shared" si="4"/>
        <v>25–30</v>
      </c>
      <c r="N303" t="s">
        <v>15</v>
      </c>
    </row>
    <row r="304" spans="1:14" x14ac:dyDescent="0.25">
      <c r="A304">
        <v>26928</v>
      </c>
      <c r="B304" t="s">
        <v>38</v>
      </c>
      <c r="C304" t="s">
        <v>40</v>
      </c>
      <c r="D304" s="3">
        <v>30000</v>
      </c>
      <c r="E304">
        <v>1</v>
      </c>
      <c r="F304" t="s">
        <v>13</v>
      </c>
      <c r="G304" t="s">
        <v>20</v>
      </c>
      <c r="H304" t="s">
        <v>15</v>
      </c>
      <c r="I304">
        <v>0</v>
      </c>
      <c r="J304" t="s">
        <v>16</v>
      </c>
      <c r="K304" t="s">
        <v>17</v>
      </c>
      <c r="L304">
        <v>62</v>
      </c>
      <c r="M304" t="str">
        <f t="shared" si="4"/>
        <v>55+</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40</v>
      </c>
      <c r="D307" s="3">
        <v>10000</v>
      </c>
      <c r="E307">
        <v>2</v>
      </c>
      <c r="F307" t="s">
        <v>29</v>
      </c>
      <c r="G307" t="s">
        <v>20</v>
      </c>
      <c r="H307" t="s">
        <v>15</v>
      </c>
      <c r="I307">
        <v>2</v>
      </c>
      <c r="J307" t="s">
        <v>23</v>
      </c>
      <c r="K307" t="s">
        <v>24</v>
      </c>
      <c r="L307">
        <v>58</v>
      </c>
      <c r="M307" t="str">
        <f t="shared" si="4"/>
        <v>55+</v>
      </c>
      <c r="N307" t="s">
        <v>18</v>
      </c>
    </row>
    <row r="308" spans="1:14" x14ac:dyDescent="0.25">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40</v>
      </c>
      <c r="D309" s="3">
        <v>10000</v>
      </c>
      <c r="E309">
        <v>2</v>
      </c>
      <c r="F309" t="s">
        <v>13</v>
      </c>
      <c r="G309" t="s">
        <v>20</v>
      </c>
      <c r="H309" t="s">
        <v>15</v>
      </c>
      <c r="I309">
        <v>1</v>
      </c>
      <c r="J309" t="s">
        <v>16</v>
      </c>
      <c r="K309" t="s">
        <v>17</v>
      </c>
      <c r="L309">
        <v>66</v>
      </c>
      <c r="M309" t="str">
        <f t="shared" si="4"/>
        <v>55+</v>
      </c>
      <c r="N309" t="s">
        <v>18</v>
      </c>
    </row>
    <row r="310" spans="1:14" x14ac:dyDescent="0.25">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40</v>
      </c>
      <c r="D314" s="3">
        <v>20000</v>
      </c>
      <c r="E314">
        <v>4</v>
      </c>
      <c r="F314" t="s">
        <v>27</v>
      </c>
      <c r="G314" t="s">
        <v>14</v>
      </c>
      <c r="H314" t="s">
        <v>15</v>
      </c>
      <c r="I314">
        <v>2</v>
      </c>
      <c r="J314" t="s">
        <v>23</v>
      </c>
      <c r="K314" t="s">
        <v>24</v>
      </c>
      <c r="L314">
        <v>58</v>
      </c>
      <c r="M314" t="str">
        <f t="shared" si="4"/>
        <v>55+</v>
      </c>
      <c r="N314" t="s">
        <v>15</v>
      </c>
    </row>
    <row r="315" spans="1:14" x14ac:dyDescent="0.25">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40</v>
      </c>
      <c r="D318" s="3">
        <v>50000</v>
      </c>
      <c r="E318">
        <v>2</v>
      </c>
      <c r="F318" t="s">
        <v>31</v>
      </c>
      <c r="G318" t="s">
        <v>28</v>
      </c>
      <c r="H318" t="s">
        <v>15</v>
      </c>
      <c r="I318">
        <v>1</v>
      </c>
      <c r="J318" t="s">
        <v>23</v>
      </c>
      <c r="K318" t="s">
        <v>24</v>
      </c>
      <c r="L318">
        <v>64</v>
      </c>
      <c r="M318" t="str">
        <f t="shared" si="4"/>
        <v>55+</v>
      </c>
      <c r="N318" t="s">
        <v>15</v>
      </c>
    </row>
    <row r="319" spans="1:14" x14ac:dyDescent="0.25">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40</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39</v>
      </c>
      <c r="D323" s="3">
        <v>160000</v>
      </c>
      <c r="E323">
        <v>0</v>
      </c>
      <c r="F323" t="s">
        <v>31</v>
      </c>
      <c r="G323" t="s">
        <v>28</v>
      </c>
      <c r="H323" t="s">
        <v>18</v>
      </c>
      <c r="I323">
        <v>3</v>
      </c>
      <c r="J323" t="s">
        <v>16</v>
      </c>
      <c r="K323" t="s">
        <v>24</v>
      </c>
      <c r="L323">
        <v>47</v>
      </c>
      <c r="M323" t="str">
        <f t="shared" ref="M323:M386" si="5">IF(L323&gt;54,"55+",IF(L323&gt;=31,"Middle Age",IF(L323&lt;31,"25–30","Invalid")))</f>
        <v>Middle Age</v>
      </c>
      <c r="N323" t="s">
        <v>15</v>
      </c>
    </row>
    <row r="324" spans="1:14" x14ac:dyDescent="0.2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25–30</v>
      </c>
      <c r="N328" t="s">
        <v>15</v>
      </c>
    </row>
    <row r="329" spans="1:14" x14ac:dyDescent="0.25">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3">
        <v>90000</v>
      </c>
      <c r="E331">
        <v>5</v>
      </c>
      <c r="F331" t="s">
        <v>29</v>
      </c>
      <c r="G331" t="s">
        <v>14</v>
      </c>
      <c r="H331" t="s">
        <v>15</v>
      </c>
      <c r="I331">
        <v>2</v>
      </c>
      <c r="J331" t="s">
        <v>47</v>
      </c>
      <c r="K331" t="s">
        <v>17</v>
      </c>
      <c r="L331">
        <v>59</v>
      </c>
      <c r="M331" t="str">
        <f t="shared" si="5"/>
        <v>55+</v>
      </c>
      <c r="N331" t="s">
        <v>18</v>
      </c>
    </row>
    <row r="332" spans="1:14" x14ac:dyDescent="0.25">
      <c r="A332">
        <v>24898</v>
      </c>
      <c r="B332" t="s">
        <v>38</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37</v>
      </c>
      <c r="C333" t="s">
        <v>40</v>
      </c>
      <c r="D333" s="3">
        <v>10000</v>
      </c>
      <c r="E333">
        <v>0</v>
      </c>
      <c r="F333" t="s">
        <v>29</v>
      </c>
      <c r="G333" t="s">
        <v>25</v>
      </c>
      <c r="H333" t="s">
        <v>18</v>
      </c>
      <c r="I333">
        <v>2</v>
      </c>
      <c r="J333" t="s">
        <v>16</v>
      </c>
      <c r="K333" t="s">
        <v>17</v>
      </c>
      <c r="L333">
        <v>30</v>
      </c>
      <c r="M333" t="str">
        <f t="shared" si="5"/>
        <v>25–30</v>
      </c>
      <c r="N333" t="s">
        <v>18</v>
      </c>
    </row>
    <row r="334" spans="1:14" x14ac:dyDescent="0.2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40</v>
      </c>
      <c r="D341" s="3">
        <v>20000</v>
      </c>
      <c r="E341">
        <v>1</v>
      </c>
      <c r="F341" t="s">
        <v>13</v>
      </c>
      <c r="G341" t="s">
        <v>20</v>
      </c>
      <c r="H341" t="s">
        <v>15</v>
      </c>
      <c r="I341">
        <v>0</v>
      </c>
      <c r="J341" t="s">
        <v>16</v>
      </c>
      <c r="K341" t="s">
        <v>17</v>
      </c>
      <c r="L341">
        <v>66</v>
      </c>
      <c r="M341" t="str">
        <f t="shared" si="5"/>
        <v>55+</v>
      </c>
      <c r="N341" t="s">
        <v>18</v>
      </c>
    </row>
    <row r="342" spans="1:14" x14ac:dyDescent="0.25">
      <c r="A342">
        <v>16468</v>
      </c>
      <c r="B342" t="s">
        <v>38</v>
      </c>
      <c r="C342" t="s">
        <v>40</v>
      </c>
      <c r="D342" s="3">
        <v>30000</v>
      </c>
      <c r="E342">
        <v>0</v>
      </c>
      <c r="F342" t="s">
        <v>19</v>
      </c>
      <c r="G342" t="s">
        <v>20</v>
      </c>
      <c r="H342" t="s">
        <v>15</v>
      </c>
      <c r="I342">
        <v>1</v>
      </c>
      <c r="J342" t="s">
        <v>22</v>
      </c>
      <c r="K342" t="s">
        <v>17</v>
      </c>
      <c r="L342">
        <v>30</v>
      </c>
      <c r="M342" t="str">
        <f t="shared" si="5"/>
        <v>25–30</v>
      </c>
      <c r="N342" t="s">
        <v>18</v>
      </c>
    </row>
    <row r="343" spans="1:14" x14ac:dyDescent="0.2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39</v>
      </c>
      <c r="D351" s="3">
        <v>30000</v>
      </c>
      <c r="E351">
        <v>0</v>
      </c>
      <c r="F351" t="s">
        <v>19</v>
      </c>
      <c r="G351" t="s">
        <v>20</v>
      </c>
      <c r="H351" t="s">
        <v>18</v>
      </c>
      <c r="I351">
        <v>1</v>
      </c>
      <c r="J351" t="s">
        <v>16</v>
      </c>
      <c r="K351" t="s">
        <v>17</v>
      </c>
      <c r="L351">
        <v>29</v>
      </c>
      <c r="M351" t="str">
        <f t="shared" si="5"/>
        <v>25–30</v>
      </c>
      <c r="N351" t="s">
        <v>15</v>
      </c>
    </row>
    <row r="352" spans="1:14" x14ac:dyDescent="0.25">
      <c r="A352">
        <v>27878</v>
      </c>
      <c r="B352" t="s">
        <v>38</v>
      </c>
      <c r="C352" t="s">
        <v>40</v>
      </c>
      <c r="D352" s="3">
        <v>20000</v>
      </c>
      <c r="E352">
        <v>0</v>
      </c>
      <c r="F352" t="s">
        <v>19</v>
      </c>
      <c r="G352" t="s">
        <v>25</v>
      </c>
      <c r="H352" t="s">
        <v>18</v>
      </c>
      <c r="I352">
        <v>0</v>
      </c>
      <c r="J352" t="s">
        <v>16</v>
      </c>
      <c r="K352" t="s">
        <v>24</v>
      </c>
      <c r="L352">
        <v>28</v>
      </c>
      <c r="M352" t="str">
        <f t="shared" si="5"/>
        <v>25–30</v>
      </c>
      <c r="N352" t="s">
        <v>15</v>
      </c>
    </row>
    <row r="353" spans="1:14" x14ac:dyDescent="0.25">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40</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40</v>
      </c>
      <c r="D360" s="3">
        <v>90000</v>
      </c>
      <c r="E360">
        <v>4</v>
      </c>
      <c r="F360" t="s">
        <v>27</v>
      </c>
      <c r="G360" t="s">
        <v>28</v>
      </c>
      <c r="H360" t="s">
        <v>15</v>
      </c>
      <c r="I360">
        <v>3</v>
      </c>
      <c r="J360" t="s">
        <v>23</v>
      </c>
      <c r="K360" t="s">
        <v>17</v>
      </c>
      <c r="L360">
        <v>58</v>
      </c>
      <c r="M360" t="str">
        <f t="shared" si="5"/>
        <v>55+</v>
      </c>
      <c r="N360" t="s">
        <v>15</v>
      </c>
    </row>
    <row r="361" spans="1:14" x14ac:dyDescent="0.25">
      <c r="A361">
        <v>17230</v>
      </c>
      <c r="B361" t="s">
        <v>37</v>
      </c>
      <c r="C361" t="s">
        <v>40</v>
      </c>
      <c r="D361" s="3">
        <v>80000</v>
      </c>
      <c r="E361">
        <v>0</v>
      </c>
      <c r="F361" t="s">
        <v>13</v>
      </c>
      <c r="G361" t="s">
        <v>21</v>
      </c>
      <c r="H361" t="s">
        <v>15</v>
      </c>
      <c r="I361">
        <v>3</v>
      </c>
      <c r="J361" t="s">
        <v>47</v>
      </c>
      <c r="K361" t="s">
        <v>24</v>
      </c>
      <c r="L361">
        <v>30</v>
      </c>
      <c r="M361" t="str">
        <f t="shared" si="5"/>
        <v>25–30</v>
      </c>
      <c r="N361" t="s">
        <v>18</v>
      </c>
    </row>
    <row r="362" spans="1:14" x14ac:dyDescent="0.25">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39</v>
      </c>
      <c r="D363" s="3">
        <v>30000</v>
      </c>
      <c r="E363">
        <v>3</v>
      </c>
      <c r="F363" t="s">
        <v>19</v>
      </c>
      <c r="G363" t="s">
        <v>20</v>
      </c>
      <c r="H363" t="s">
        <v>18</v>
      </c>
      <c r="I363">
        <v>2</v>
      </c>
      <c r="J363" t="s">
        <v>16</v>
      </c>
      <c r="K363" t="s">
        <v>17</v>
      </c>
      <c r="L363">
        <v>27</v>
      </c>
      <c r="M363" t="str">
        <f t="shared" si="5"/>
        <v>25–30</v>
      </c>
      <c r="N363" t="s">
        <v>15</v>
      </c>
    </row>
    <row r="364" spans="1:14" x14ac:dyDescent="0.25">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55+</v>
      </c>
      <c r="N365" t="s">
        <v>15</v>
      </c>
    </row>
    <row r="366" spans="1:14" x14ac:dyDescent="0.2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39</v>
      </c>
      <c r="D370" s="3">
        <v>30000</v>
      </c>
      <c r="E370">
        <v>2</v>
      </c>
      <c r="F370" t="s">
        <v>19</v>
      </c>
      <c r="G370" t="s">
        <v>20</v>
      </c>
      <c r="H370" t="s">
        <v>18</v>
      </c>
      <c r="I370">
        <v>2</v>
      </c>
      <c r="J370" t="s">
        <v>23</v>
      </c>
      <c r="K370" t="s">
        <v>24</v>
      </c>
      <c r="L370">
        <v>60</v>
      </c>
      <c r="M370" t="str">
        <f t="shared" si="5"/>
        <v>55+</v>
      </c>
      <c r="N370" t="s">
        <v>15</v>
      </c>
    </row>
    <row r="371" spans="1:14" x14ac:dyDescent="0.2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40</v>
      </c>
      <c r="D375" s="3">
        <v>20000</v>
      </c>
      <c r="E375">
        <v>0</v>
      </c>
      <c r="F375" t="s">
        <v>27</v>
      </c>
      <c r="G375" t="s">
        <v>25</v>
      </c>
      <c r="H375" t="s">
        <v>18</v>
      </c>
      <c r="I375">
        <v>1</v>
      </c>
      <c r="J375" t="s">
        <v>22</v>
      </c>
      <c r="K375" t="s">
        <v>17</v>
      </c>
      <c r="L375">
        <v>30</v>
      </c>
      <c r="M375" t="str">
        <f t="shared" si="5"/>
        <v>25–30</v>
      </c>
      <c r="N375" t="s">
        <v>18</v>
      </c>
    </row>
    <row r="376" spans="1:14" x14ac:dyDescent="0.2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55+</v>
      </c>
      <c r="N377" t="s">
        <v>18</v>
      </c>
    </row>
    <row r="378" spans="1:14" x14ac:dyDescent="0.25">
      <c r="A378">
        <v>20977</v>
      </c>
      <c r="B378" t="s">
        <v>37</v>
      </c>
      <c r="C378" t="s">
        <v>40</v>
      </c>
      <c r="D378" s="3">
        <v>20000</v>
      </c>
      <c r="E378">
        <v>1</v>
      </c>
      <c r="F378" t="s">
        <v>13</v>
      </c>
      <c r="G378" t="s">
        <v>20</v>
      </c>
      <c r="H378" t="s">
        <v>15</v>
      </c>
      <c r="I378">
        <v>0</v>
      </c>
      <c r="J378" t="s">
        <v>16</v>
      </c>
      <c r="K378" t="s">
        <v>17</v>
      </c>
      <c r="L378">
        <v>64</v>
      </c>
      <c r="M378" t="str">
        <f t="shared" si="5"/>
        <v>55+</v>
      </c>
      <c r="N378" t="s">
        <v>15</v>
      </c>
    </row>
    <row r="379" spans="1:14" x14ac:dyDescent="0.25">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40</v>
      </c>
      <c r="D380" s="3">
        <v>30000</v>
      </c>
      <c r="E380">
        <v>3</v>
      </c>
      <c r="F380" t="s">
        <v>19</v>
      </c>
      <c r="G380" t="s">
        <v>20</v>
      </c>
      <c r="H380" t="s">
        <v>18</v>
      </c>
      <c r="I380">
        <v>2</v>
      </c>
      <c r="J380" t="s">
        <v>23</v>
      </c>
      <c r="K380" t="s">
        <v>24</v>
      </c>
      <c r="L380">
        <v>56</v>
      </c>
      <c r="M380" t="str">
        <f t="shared" si="5"/>
        <v>55+</v>
      </c>
      <c r="N380" t="s">
        <v>18</v>
      </c>
    </row>
    <row r="381" spans="1:14" x14ac:dyDescent="0.25">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40</v>
      </c>
      <c r="D382" s="3">
        <v>70000</v>
      </c>
      <c r="E382">
        <v>0</v>
      </c>
      <c r="F382" t="s">
        <v>13</v>
      </c>
      <c r="G382" t="s">
        <v>21</v>
      </c>
      <c r="H382" t="s">
        <v>18</v>
      </c>
      <c r="I382">
        <v>3</v>
      </c>
      <c r="J382" t="s">
        <v>47</v>
      </c>
      <c r="K382" t="s">
        <v>24</v>
      </c>
      <c r="L382">
        <v>30</v>
      </c>
      <c r="M382" t="str">
        <f t="shared" si="5"/>
        <v>25–30</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55+</v>
      </c>
      <c r="N383" t="s">
        <v>18</v>
      </c>
    </row>
    <row r="384" spans="1:14" x14ac:dyDescent="0.25">
      <c r="A384">
        <v>13586</v>
      </c>
      <c r="B384" t="s">
        <v>37</v>
      </c>
      <c r="C384" t="s">
        <v>40</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39</v>
      </c>
      <c r="D386" s="3">
        <v>10000</v>
      </c>
      <c r="E386">
        <v>0</v>
      </c>
      <c r="F386" t="s">
        <v>19</v>
      </c>
      <c r="G386" t="s">
        <v>25</v>
      </c>
      <c r="H386" t="s">
        <v>18</v>
      </c>
      <c r="I386">
        <v>1</v>
      </c>
      <c r="J386" t="s">
        <v>16</v>
      </c>
      <c r="K386" t="s">
        <v>24</v>
      </c>
      <c r="L386">
        <v>28</v>
      </c>
      <c r="M386" t="str">
        <f t="shared" si="5"/>
        <v>25–30</v>
      </c>
      <c r="N386" t="s">
        <v>15</v>
      </c>
    </row>
    <row r="387" spans="1:14" x14ac:dyDescent="0.25">
      <c r="A387">
        <v>18018</v>
      </c>
      <c r="B387" t="s">
        <v>38</v>
      </c>
      <c r="C387" t="s">
        <v>40</v>
      </c>
      <c r="D387" s="3">
        <v>30000</v>
      </c>
      <c r="E387">
        <v>3</v>
      </c>
      <c r="F387" t="s">
        <v>19</v>
      </c>
      <c r="G387" t="s">
        <v>20</v>
      </c>
      <c r="H387" t="s">
        <v>15</v>
      </c>
      <c r="I387">
        <v>0</v>
      </c>
      <c r="J387" t="s">
        <v>16</v>
      </c>
      <c r="K387" t="s">
        <v>17</v>
      </c>
      <c r="L387">
        <v>43</v>
      </c>
      <c r="M387" t="str">
        <f t="shared" ref="M387:M450" si="6">IF(L387&gt;54,"55+",IF(L387&gt;=31,"Middle Age",IF(L387&lt;31,"25–30","Invalid")))</f>
        <v>Middle Age</v>
      </c>
      <c r="N387" t="s">
        <v>18</v>
      </c>
    </row>
    <row r="388" spans="1:14" x14ac:dyDescent="0.25">
      <c r="A388">
        <v>28957</v>
      </c>
      <c r="B388" t="s">
        <v>38</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55+</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55+</v>
      </c>
      <c r="N399" t="s">
        <v>18</v>
      </c>
    </row>
    <row r="400" spans="1:14" x14ac:dyDescent="0.25">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55+</v>
      </c>
      <c r="N403" t="s">
        <v>18</v>
      </c>
    </row>
    <row r="404" spans="1:14" x14ac:dyDescent="0.25">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39</v>
      </c>
      <c r="D415" s="3">
        <v>30000</v>
      </c>
      <c r="E415">
        <v>2</v>
      </c>
      <c r="F415" t="s">
        <v>19</v>
      </c>
      <c r="G415" t="s">
        <v>20</v>
      </c>
      <c r="H415" t="s">
        <v>18</v>
      </c>
      <c r="I415">
        <v>2</v>
      </c>
      <c r="J415" t="s">
        <v>23</v>
      </c>
      <c r="K415" t="s">
        <v>24</v>
      </c>
      <c r="L415">
        <v>67</v>
      </c>
      <c r="M415" t="str">
        <f t="shared" si="6"/>
        <v>55+</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39</v>
      </c>
      <c r="D419" s="3">
        <v>30000</v>
      </c>
      <c r="E419">
        <v>2</v>
      </c>
      <c r="F419" t="s">
        <v>19</v>
      </c>
      <c r="G419" t="s">
        <v>20</v>
      </c>
      <c r="H419" t="s">
        <v>18</v>
      </c>
      <c r="I419">
        <v>2</v>
      </c>
      <c r="J419" t="s">
        <v>23</v>
      </c>
      <c r="K419" t="s">
        <v>24</v>
      </c>
      <c r="L419">
        <v>67</v>
      </c>
      <c r="M419" t="str">
        <f t="shared" si="6"/>
        <v>55+</v>
      </c>
      <c r="N419" t="s">
        <v>18</v>
      </c>
    </row>
    <row r="420" spans="1:14" x14ac:dyDescent="0.25">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3">
        <v>100000</v>
      </c>
      <c r="E422">
        <v>2</v>
      </c>
      <c r="F422" t="s">
        <v>13</v>
      </c>
      <c r="G422" t="s">
        <v>28</v>
      </c>
      <c r="H422" t="s">
        <v>15</v>
      </c>
      <c r="I422">
        <v>4</v>
      </c>
      <c r="J422" t="s">
        <v>47</v>
      </c>
      <c r="K422" t="s">
        <v>17</v>
      </c>
      <c r="L422">
        <v>59</v>
      </c>
      <c r="M422" t="str">
        <f t="shared" si="6"/>
        <v>55+</v>
      </c>
      <c r="N422" t="s">
        <v>18</v>
      </c>
    </row>
    <row r="423" spans="1:14" x14ac:dyDescent="0.25">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40</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40</v>
      </c>
      <c r="D427" s="3">
        <v>40000</v>
      </c>
      <c r="E427">
        <v>2</v>
      </c>
      <c r="F427" t="s">
        <v>13</v>
      </c>
      <c r="G427" t="s">
        <v>28</v>
      </c>
      <c r="H427" t="s">
        <v>15</v>
      </c>
      <c r="I427">
        <v>2</v>
      </c>
      <c r="J427" t="s">
        <v>16</v>
      </c>
      <c r="K427" t="s">
        <v>24</v>
      </c>
      <c r="L427">
        <v>67</v>
      </c>
      <c r="M427" t="str">
        <f t="shared" si="6"/>
        <v>55+</v>
      </c>
      <c r="N427" t="s">
        <v>18</v>
      </c>
    </row>
    <row r="428" spans="1:14" x14ac:dyDescent="0.25">
      <c r="A428">
        <v>19389</v>
      </c>
      <c r="B428" t="s">
        <v>38</v>
      </c>
      <c r="C428" t="s">
        <v>40</v>
      </c>
      <c r="D428" s="3">
        <v>30000</v>
      </c>
      <c r="E428">
        <v>0</v>
      </c>
      <c r="F428" t="s">
        <v>19</v>
      </c>
      <c r="G428" t="s">
        <v>20</v>
      </c>
      <c r="H428" t="s">
        <v>18</v>
      </c>
      <c r="I428">
        <v>1</v>
      </c>
      <c r="J428" t="s">
        <v>22</v>
      </c>
      <c r="K428" t="s">
        <v>17</v>
      </c>
      <c r="L428">
        <v>28</v>
      </c>
      <c r="M428" t="str">
        <f t="shared" si="6"/>
        <v>25–30</v>
      </c>
      <c r="N428" t="s">
        <v>18</v>
      </c>
    </row>
    <row r="429" spans="1:14" x14ac:dyDescent="0.2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39</v>
      </c>
      <c r="D432" s="3">
        <v>30000</v>
      </c>
      <c r="E432">
        <v>3</v>
      </c>
      <c r="F432" t="s">
        <v>27</v>
      </c>
      <c r="G432" t="s">
        <v>14</v>
      </c>
      <c r="H432" t="s">
        <v>15</v>
      </c>
      <c r="I432">
        <v>2</v>
      </c>
      <c r="J432" t="s">
        <v>23</v>
      </c>
      <c r="K432" t="s">
        <v>24</v>
      </c>
      <c r="L432">
        <v>55</v>
      </c>
      <c r="M432" t="str">
        <f t="shared" si="6"/>
        <v>55+</v>
      </c>
      <c r="N432" t="s">
        <v>18</v>
      </c>
    </row>
    <row r="433" spans="1:14" x14ac:dyDescent="0.25">
      <c r="A433">
        <v>28488</v>
      </c>
      <c r="B433" t="s">
        <v>38</v>
      </c>
      <c r="C433" t="s">
        <v>40</v>
      </c>
      <c r="D433" s="3">
        <v>20000</v>
      </c>
      <c r="E433">
        <v>0</v>
      </c>
      <c r="F433" t="s">
        <v>19</v>
      </c>
      <c r="G433" t="s">
        <v>25</v>
      </c>
      <c r="H433" t="s">
        <v>15</v>
      </c>
      <c r="I433">
        <v>0</v>
      </c>
      <c r="J433" t="s">
        <v>16</v>
      </c>
      <c r="K433" t="s">
        <v>24</v>
      </c>
      <c r="L433">
        <v>28</v>
      </c>
      <c r="M433" t="str">
        <f t="shared" si="6"/>
        <v>25–30</v>
      </c>
      <c r="N433" t="s">
        <v>15</v>
      </c>
    </row>
    <row r="434" spans="1:14" x14ac:dyDescent="0.25">
      <c r="A434">
        <v>21891</v>
      </c>
      <c r="B434" t="s">
        <v>37</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38</v>
      </c>
      <c r="C435" t="s">
        <v>39</v>
      </c>
      <c r="D435" s="3">
        <v>30000</v>
      </c>
      <c r="E435">
        <v>3</v>
      </c>
      <c r="F435" t="s">
        <v>19</v>
      </c>
      <c r="G435" t="s">
        <v>20</v>
      </c>
      <c r="H435" t="s">
        <v>18</v>
      </c>
      <c r="I435">
        <v>1</v>
      </c>
      <c r="J435" t="s">
        <v>16</v>
      </c>
      <c r="K435" t="s">
        <v>17</v>
      </c>
      <c r="L435">
        <v>26</v>
      </c>
      <c r="M435" t="str">
        <f t="shared" si="6"/>
        <v>25–30</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39</v>
      </c>
      <c r="D437" s="3">
        <v>10000</v>
      </c>
      <c r="E437">
        <v>2</v>
      </c>
      <c r="F437" t="s">
        <v>13</v>
      </c>
      <c r="G437" t="s">
        <v>20</v>
      </c>
      <c r="H437" t="s">
        <v>18</v>
      </c>
      <c r="I437">
        <v>1</v>
      </c>
      <c r="J437" t="s">
        <v>22</v>
      </c>
      <c r="K437" t="s">
        <v>17</v>
      </c>
      <c r="L437">
        <v>68</v>
      </c>
      <c r="M437" t="str">
        <f t="shared" si="6"/>
        <v>55+</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39</v>
      </c>
      <c r="D439" s="3">
        <v>30000</v>
      </c>
      <c r="E439">
        <v>3</v>
      </c>
      <c r="F439" t="s">
        <v>19</v>
      </c>
      <c r="G439" t="s">
        <v>20</v>
      </c>
      <c r="H439" t="s">
        <v>15</v>
      </c>
      <c r="I439">
        <v>2</v>
      </c>
      <c r="J439" t="s">
        <v>16</v>
      </c>
      <c r="K439" t="s">
        <v>17</v>
      </c>
      <c r="L439">
        <v>28</v>
      </c>
      <c r="M439" t="str">
        <f t="shared" si="6"/>
        <v>25–30</v>
      </c>
      <c r="N439" t="s">
        <v>15</v>
      </c>
    </row>
    <row r="440" spans="1:14" x14ac:dyDescent="0.2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40</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ref="M451:M514" si="7">IF(L451&gt;54,"55+",IF(L451&gt;=31,"Middle Age",IF(L451&lt;31,"25–30","Invalid")))</f>
        <v>Middle Age</v>
      </c>
      <c r="N451" t="s">
        <v>18</v>
      </c>
    </row>
    <row r="452" spans="1:14" x14ac:dyDescent="0.2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55+</v>
      </c>
      <c r="N454" t="s">
        <v>18</v>
      </c>
    </row>
    <row r="455" spans="1:14" x14ac:dyDescent="0.2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55+</v>
      </c>
      <c r="N459" t="s">
        <v>18</v>
      </c>
    </row>
    <row r="460" spans="1:14" x14ac:dyDescent="0.25">
      <c r="A460">
        <v>21560</v>
      </c>
      <c r="B460" t="s">
        <v>37</v>
      </c>
      <c r="C460" t="s">
        <v>40</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38</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40</v>
      </c>
      <c r="D467" s="3">
        <v>40000</v>
      </c>
      <c r="E467">
        <v>2</v>
      </c>
      <c r="F467" t="s">
        <v>13</v>
      </c>
      <c r="G467" t="s">
        <v>28</v>
      </c>
      <c r="H467" t="s">
        <v>15</v>
      </c>
      <c r="I467">
        <v>2</v>
      </c>
      <c r="J467" t="s">
        <v>16</v>
      </c>
      <c r="K467" t="s">
        <v>24</v>
      </c>
      <c r="L467">
        <v>65</v>
      </c>
      <c r="M467" t="str">
        <f t="shared" si="7"/>
        <v>55+</v>
      </c>
      <c r="N467" t="s">
        <v>18</v>
      </c>
    </row>
    <row r="468" spans="1:14" x14ac:dyDescent="0.2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55+</v>
      </c>
      <c r="N471" t="s">
        <v>18</v>
      </c>
    </row>
    <row r="472" spans="1:14" x14ac:dyDescent="0.25">
      <c r="A472">
        <v>15612</v>
      </c>
      <c r="B472" t="s">
        <v>38</v>
      </c>
      <c r="C472" t="s">
        <v>40</v>
      </c>
      <c r="D472" s="3">
        <v>30000</v>
      </c>
      <c r="E472">
        <v>0</v>
      </c>
      <c r="F472" t="s">
        <v>27</v>
      </c>
      <c r="G472" t="s">
        <v>25</v>
      </c>
      <c r="H472" t="s">
        <v>18</v>
      </c>
      <c r="I472">
        <v>1</v>
      </c>
      <c r="J472" t="s">
        <v>26</v>
      </c>
      <c r="K472" t="s">
        <v>17</v>
      </c>
      <c r="L472">
        <v>28</v>
      </c>
      <c r="M472" t="str">
        <f t="shared" si="7"/>
        <v>25–30</v>
      </c>
      <c r="N472" t="s">
        <v>18</v>
      </c>
    </row>
    <row r="473" spans="1:14" x14ac:dyDescent="0.25">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40</v>
      </c>
      <c r="D477" s="3">
        <v>20000</v>
      </c>
      <c r="E477">
        <v>4</v>
      </c>
      <c r="F477" t="s">
        <v>27</v>
      </c>
      <c r="G477" t="s">
        <v>14</v>
      </c>
      <c r="H477" t="s">
        <v>18</v>
      </c>
      <c r="I477">
        <v>2</v>
      </c>
      <c r="J477" t="s">
        <v>26</v>
      </c>
      <c r="K477" t="s">
        <v>24</v>
      </c>
      <c r="L477">
        <v>60</v>
      </c>
      <c r="M477" t="str">
        <f t="shared" si="7"/>
        <v>55+</v>
      </c>
      <c r="N477" t="s">
        <v>18</v>
      </c>
    </row>
    <row r="478" spans="1:14" x14ac:dyDescent="0.2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40</v>
      </c>
      <c r="D485" s="3">
        <v>10000</v>
      </c>
      <c r="E485">
        <v>1</v>
      </c>
      <c r="F485" t="s">
        <v>31</v>
      </c>
      <c r="G485" t="s">
        <v>20</v>
      </c>
      <c r="H485" t="s">
        <v>15</v>
      </c>
      <c r="I485">
        <v>0</v>
      </c>
      <c r="J485" t="s">
        <v>16</v>
      </c>
      <c r="K485" t="s">
        <v>17</v>
      </c>
      <c r="L485">
        <v>70</v>
      </c>
      <c r="M485" t="str">
        <f t="shared" si="7"/>
        <v>55+</v>
      </c>
      <c r="N485" t="s">
        <v>18</v>
      </c>
    </row>
    <row r="486" spans="1:14" x14ac:dyDescent="0.2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3">
        <v>90000</v>
      </c>
      <c r="E488">
        <v>4</v>
      </c>
      <c r="F488" t="s">
        <v>29</v>
      </c>
      <c r="G488" t="s">
        <v>14</v>
      </c>
      <c r="H488" t="s">
        <v>15</v>
      </c>
      <c r="I488">
        <v>4</v>
      </c>
      <c r="J488" t="s">
        <v>47</v>
      </c>
      <c r="K488" t="s">
        <v>17</v>
      </c>
      <c r="L488">
        <v>58</v>
      </c>
      <c r="M488" t="str">
        <f t="shared" si="7"/>
        <v>55+</v>
      </c>
      <c r="N488" t="s">
        <v>18</v>
      </c>
    </row>
    <row r="489" spans="1:14" x14ac:dyDescent="0.25">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40</v>
      </c>
      <c r="D495" s="3">
        <v>70000</v>
      </c>
      <c r="E495">
        <v>5</v>
      </c>
      <c r="F495" t="s">
        <v>13</v>
      </c>
      <c r="G495" t="s">
        <v>28</v>
      </c>
      <c r="H495" t="s">
        <v>15</v>
      </c>
      <c r="I495">
        <v>3</v>
      </c>
      <c r="J495" t="s">
        <v>47</v>
      </c>
      <c r="K495" t="s">
        <v>32</v>
      </c>
      <c r="L495">
        <v>60</v>
      </c>
      <c r="M495" t="str">
        <f t="shared" si="7"/>
        <v>55+</v>
      </c>
      <c r="N495" t="s">
        <v>15</v>
      </c>
    </row>
    <row r="496" spans="1:14" x14ac:dyDescent="0.25">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40</v>
      </c>
      <c r="D497" s="3">
        <v>60000</v>
      </c>
      <c r="E497">
        <v>2</v>
      </c>
      <c r="F497" t="s">
        <v>19</v>
      </c>
      <c r="G497" t="s">
        <v>21</v>
      </c>
      <c r="H497" t="s">
        <v>15</v>
      </c>
      <c r="I497">
        <v>2</v>
      </c>
      <c r="J497" t="s">
        <v>47</v>
      </c>
      <c r="K497" t="s">
        <v>32</v>
      </c>
      <c r="L497">
        <v>56</v>
      </c>
      <c r="M497" t="str">
        <f t="shared" si="7"/>
        <v>55+</v>
      </c>
      <c r="N497" t="s">
        <v>18</v>
      </c>
    </row>
    <row r="498" spans="1:14" x14ac:dyDescent="0.2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40</v>
      </c>
      <c r="D504" s="3">
        <v>40000</v>
      </c>
      <c r="E504">
        <v>0</v>
      </c>
      <c r="F504" t="s">
        <v>19</v>
      </c>
      <c r="G504" t="s">
        <v>14</v>
      </c>
      <c r="H504" t="s">
        <v>15</v>
      </c>
      <c r="I504">
        <v>1</v>
      </c>
      <c r="J504" t="s">
        <v>23</v>
      </c>
      <c r="K504" t="s">
        <v>32</v>
      </c>
      <c r="L504">
        <v>29</v>
      </c>
      <c r="M504" t="str">
        <f t="shared" si="7"/>
        <v>25–30</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40</v>
      </c>
      <c r="D510" s="3">
        <v>60000</v>
      </c>
      <c r="E510">
        <v>0</v>
      </c>
      <c r="F510" t="s">
        <v>19</v>
      </c>
      <c r="G510" t="s">
        <v>14</v>
      </c>
      <c r="H510" t="s">
        <v>18</v>
      </c>
      <c r="I510">
        <v>2</v>
      </c>
      <c r="J510" t="s">
        <v>26</v>
      </c>
      <c r="K510" t="s">
        <v>32</v>
      </c>
      <c r="L510">
        <v>29</v>
      </c>
      <c r="M510" t="str">
        <f t="shared" si="7"/>
        <v>25–30</v>
      </c>
      <c r="N510" t="s">
        <v>18</v>
      </c>
    </row>
    <row r="511" spans="1:14" x14ac:dyDescent="0.25">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40</v>
      </c>
      <c r="D513" s="3">
        <v>80000</v>
      </c>
      <c r="E513">
        <v>4</v>
      </c>
      <c r="F513" t="s">
        <v>13</v>
      </c>
      <c r="G513" t="s">
        <v>28</v>
      </c>
      <c r="H513" t="s">
        <v>15</v>
      </c>
      <c r="I513">
        <v>0</v>
      </c>
      <c r="J513" t="s">
        <v>23</v>
      </c>
      <c r="K513" t="s">
        <v>32</v>
      </c>
      <c r="L513">
        <v>66</v>
      </c>
      <c r="M513" t="str">
        <f t="shared" si="7"/>
        <v>55+</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39</v>
      </c>
      <c r="D515" s="3">
        <v>60000</v>
      </c>
      <c r="E515">
        <v>4</v>
      </c>
      <c r="F515" t="s">
        <v>31</v>
      </c>
      <c r="G515" t="s">
        <v>28</v>
      </c>
      <c r="H515" t="s">
        <v>15</v>
      </c>
      <c r="I515">
        <v>2</v>
      </c>
      <c r="J515" t="s">
        <v>47</v>
      </c>
      <c r="K515" t="s">
        <v>32</v>
      </c>
      <c r="L515">
        <v>61</v>
      </c>
      <c r="M515" t="str">
        <f t="shared" ref="M515:M578" si="8">IF(L515&gt;54,"55+",IF(L515&gt;=31,"Middle Age",IF(L515&lt;31,"25–30","Invalid")))</f>
        <v>55+</v>
      </c>
      <c r="N515" t="s">
        <v>15</v>
      </c>
    </row>
    <row r="516" spans="1:14" x14ac:dyDescent="0.25">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40</v>
      </c>
      <c r="D521" s="3">
        <v>80000</v>
      </c>
      <c r="E521">
        <v>5</v>
      </c>
      <c r="F521" t="s">
        <v>13</v>
      </c>
      <c r="G521" t="s">
        <v>28</v>
      </c>
      <c r="H521" t="s">
        <v>15</v>
      </c>
      <c r="I521">
        <v>2</v>
      </c>
      <c r="J521" t="s">
        <v>26</v>
      </c>
      <c r="K521" t="s">
        <v>32</v>
      </c>
      <c r="L521">
        <v>64</v>
      </c>
      <c r="M521" t="str">
        <f t="shared" si="8"/>
        <v>55+</v>
      </c>
      <c r="N521" t="s">
        <v>18</v>
      </c>
    </row>
    <row r="522" spans="1:14" x14ac:dyDescent="0.25">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40</v>
      </c>
      <c r="D523" s="3">
        <v>40000</v>
      </c>
      <c r="E523">
        <v>4</v>
      </c>
      <c r="F523" t="s">
        <v>27</v>
      </c>
      <c r="G523" t="s">
        <v>21</v>
      </c>
      <c r="H523" t="s">
        <v>15</v>
      </c>
      <c r="I523">
        <v>2</v>
      </c>
      <c r="J523" t="s">
        <v>47</v>
      </c>
      <c r="K523" t="s">
        <v>32</v>
      </c>
      <c r="L523">
        <v>62</v>
      </c>
      <c r="M523" t="str">
        <f t="shared" si="8"/>
        <v>55+</v>
      </c>
      <c r="N523" t="s">
        <v>15</v>
      </c>
    </row>
    <row r="524" spans="1:14" x14ac:dyDescent="0.25">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39</v>
      </c>
      <c r="D526" s="3">
        <v>80000</v>
      </c>
      <c r="E526">
        <v>4</v>
      </c>
      <c r="F526" t="s">
        <v>31</v>
      </c>
      <c r="G526" t="s">
        <v>28</v>
      </c>
      <c r="H526" t="s">
        <v>15</v>
      </c>
      <c r="I526">
        <v>2</v>
      </c>
      <c r="J526" t="s">
        <v>23</v>
      </c>
      <c r="K526" t="s">
        <v>32</v>
      </c>
      <c r="L526">
        <v>67</v>
      </c>
      <c r="M526" t="str">
        <f t="shared" si="8"/>
        <v>55+</v>
      </c>
      <c r="N526" t="s">
        <v>18</v>
      </c>
    </row>
    <row r="527" spans="1:14" x14ac:dyDescent="0.25">
      <c r="A527">
        <v>16791</v>
      </c>
      <c r="B527" t="s">
        <v>38</v>
      </c>
      <c r="C527" t="s">
        <v>40</v>
      </c>
      <c r="D527" s="3">
        <v>60000</v>
      </c>
      <c r="E527">
        <v>5</v>
      </c>
      <c r="F527" t="s">
        <v>13</v>
      </c>
      <c r="G527" t="s">
        <v>28</v>
      </c>
      <c r="H527" t="s">
        <v>15</v>
      </c>
      <c r="I527">
        <v>3</v>
      </c>
      <c r="J527" t="s">
        <v>47</v>
      </c>
      <c r="K527" t="s">
        <v>32</v>
      </c>
      <c r="L527">
        <v>59</v>
      </c>
      <c r="M527" t="str">
        <f t="shared" si="8"/>
        <v>55+</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39</v>
      </c>
      <c r="D530" s="3">
        <v>30000</v>
      </c>
      <c r="E530">
        <v>0</v>
      </c>
      <c r="F530" t="s">
        <v>19</v>
      </c>
      <c r="G530" t="s">
        <v>14</v>
      </c>
      <c r="H530" t="s">
        <v>15</v>
      </c>
      <c r="I530">
        <v>1</v>
      </c>
      <c r="J530" t="s">
        <v>23</v>
      </c>
      <c r="K530" t="s">
        <v>32</v>
      </c>
      <c r="L530">
        <v>28</v>
      </c>
      <c r="M530" t="str">
        <f t="shared" si="8"/>
        <v>25–30</v>
      </c>
      <c r="N530" t="s">
        <v>18</v>
      </c>
    </row>
    <row r="531" spans="1:14" x14ac:dyDescent="0.25">
      <c r="A531">
        <v>13233</v>
      </c>
      <c r="B531" t="s">
        <v>37</v>
      </c>
      <c r="C531" t="s">
        <v>40</v>
      </c>
      <c r="D531" s="3">
        <v>60000</v>
      </c>
      <c r="E531">
        <v>2</v>
      </c>
      <c r="F531" t="s">
        <v>19</v>
      </c>
      <c r="G531" t="s">
        <v>21</v>
      </c>
      <c r="H531" t="s">
        <v>15</v>
      </c>
      <c r="I531">
        <v>1</v>
      </c>
      <c r="J531" t="s">
        <v>47</v>
      </c>
      <c r="K531" t="s">
        <v>32</v>
      </c>
      <c r="L531">
        <v>57</v>
      </c>
      <c r="M531" t="str">
        <f t="shared" si="8"/>
        <v>55+</v>
      </c>
      <c r="N531" t="s">
        <v>15</v>
      </c>
    </row>
    <row r="532" spans="1:14" x14ac:dyDescent="0.25">
      <c r="A532">
        <v>25909</v>
      </c>
      <c r="B532" t="s">
        <v>37</v>
      </c>
      <c r="C532" t="s">
        <v>40</v>
      </c>
      <c r="D532" s="3">
        <v>60000</v>
      </c>
      <c r="E532">
        <v>0</v>
      </c>
      <c r="F532" t="s">
        <v>19</v>
      </c>
      <c r="G532" t="s">
        <v>14</v>
      </c>
      <c r="H532" t="s">
        <v>15</v>
      </c>
      <c r="I532">
        <v>1</v>
      </c>
      <c r="J532" t="s">
        <v>23</v>
      </c>
      <c r="K532" t="s">
        <v>32</v>
      </c>
      <c r="L532">
        <v>27</v>
      </c>
      <c r="M532" t="str">
        <f t="shared" si="8"/>
        <v>25–30</v>
      </c>
      <c r="N532" t="s">
        <v>15</v>
      </c>
    </row>
    <row r="533" spans="1:14" x14ac:dyDescent="0.25">
      <c r="A533">
        <v>14092</v>
      </c>
      <c r="B533" t="s">
        <v>38</v>
      </c>
      <c r="C533" t="s">
        <v>40</v>
      </c>
      <c r="D533" s="3">
        <v>30000</v>
      </c>
      <c r="E533">
        <v>0</v>
      </c>
      <c r="F533" t="s">
        <v>29</v>
      </c>
      <c r="G533" t="s">
        <v>20</v>
      </c>
      <c r="H533" t="s">
        <v>15</v>
      </c>
      <c r="I533">
        <v>2</v>
      </c>
      <c r="J533" t="s">
        <v>23</v>
      </c>
      <c r="K533" t="s">
        <v>32</v>
      </c>
      <c r="L533">
        <v>28</v>
      </c>
      <c r="M533" t="str">
        <f t="shared" si="8"/>
        <v>25–30</v>
      </c>
      <c r="N533" t="s">
        <v>18</v>
      </c>
    </row>
    <row r="534" spans="1:14" x14ac:dyDescent="0.2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40</v>
      </c>
      <c r="D535" s="3">
        <v>60000</v>
      </c>
      <c r="E535">
        <v>3</v>
      </c>
      <c r="F535" t="s">
        <v>13</v>
      </c>
      <c r="G535" t="s">
        <v>28</v>
      </c>
      <c r="H535" t="s">
        <v>15</v>
      </c>
      <c r="I535">
        <v>2</v>
      </c>
      <c r="J535" t="s">
        <v>47</v>
      </c>
      <c r="K535" t="s">
        <v>32</v>
      </c>
      <c r="L535">
        <v>66</v>
      </c>
      <c r="M535" t="str">
        <f t="shared" si="8"/>
        <v>55+</v>
      </c>
      <c r="N535" t="s">
        <v>18</v>
      </c>
    </row>
    <row r="536" spans="1:14" x14ac:dyDescent="0.25">
      <c r="A536">
        <v>24637</v>
      </c>
      <c r="B536" t="s">
        <v>37</v>
      </c>
      <c r="C536" t="s">
        <v>40</v>
      </c>
      <c r="D536" s="3">
        <v>40000</v>
      </c>
      <c r="E536">
        <v>4</v>
      </c>
      <c r="F536" t="s">
        <v>27</v>
      </c>
      <c r="G536" t="s">
        <v>21</v>
      </c>
      <c r="H536" t="s">
        <v>15</v>
      </c>
      <c r="I536">
        <v>2</v>
      </c>
      <c r="J536" t="s">
        <v>47</v>
      </c>
      <c r="K536" t="s">
        <v>32</v>
      </c>
      <c r="L536">
        <v>64</v>
      </c>
      <c r="M536" t="str">
        <f t="shared" si="8"/>
        <v>55+</v>
      </c>
      <c r="N536" t="s">
        <v>18</v>
      </c>
    </row>
    <row r="537" spans="1:14" x14ac:dyDescent="0.25">
      <c r="A537">
        <v>23893</v>
      </c>
      <c r="B537" t="s">
        <v>37</v>
      </c>
      <c r="C537" t="s">
        <v>40</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40</v>
      </c>
      <c r="D544" s="3">
        <v>40000</v>
      </c>
      <c r="E544">
        <v>0</v>
      </c>
      <c r="F544" t="s">
        <v>27</v>
      </c>
      <c r="G544" t="s">
        <v>14</v>
      </c>
      <c r="H544" t="s">
        <v>15</v>
      </c>
      <c r="I544">
        <v>2</v>
      </c>
      <c r="J544" t="s">
        <v>23</v>
      </c>
      <c r="K544" t="s">
        <v>32</v>
      </c>
      <c r="L544">
        <v>29</v>
      </c>
      <c r="M544" t="str">
        <f t="shared" si="8"/>
        <v>25–30</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40</v>
      </c>
      <c r="D547" s="3">
        <v>60000</v>
      </c>
      <c r="E547">
        <v>0</v>
      </c>
      <c r="F547" t="s">
        <v>19</v>
      </c>
      <c r="G547" t="s">
        <v>14</v>
      </c>
      <c r="H547" t="s">
        <v>18</v>
      </c>
      <c r="I547">
        <v>2</v>
      </c>
      <c r="J547" t="s">
        <v>26</v>
      </c>
      <c r="K547" t="s">
        <v>32</v>
      </c>
      <c r="L547">
        <v>29</v>
      </c>
      <c r="M547" t="str">
        <f t="shared" si="8"/>
        <v>25–30</v>
      </c>
      <c r="N547" t="s">
        <v>18</v>
      </c>
    </row>
    <row r="548" spans="1:14" x14ac:dyDescent="0.25">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40</v>
      </c>
      <c r="D549" s="3">
        <v>60000</v>
      </c>
      <c r="E549">
        <v>2</v>
      </c>
      <c r="F549" t="s">
        <v>27</v>
      </c>
      <c r="G549" t="s">
        <v>21</v>
      </c>
      <c r="H549" t="s">
        <v>15</v>
      </c>
      <c r="I549">
        <v>2</v>
      </c>
      <c r="J549" t="s">
        <v>22</v>
      </c>
      <c r="K549" t="s">
        <v>32</v>
      </c>
      <c r="L549">
        <v>55</v>
      </c>
      <c r="M549" t="str">
        <f t="shared" si="8"/>
        <v>55+</v>
      </c>
      <c r="N549" t="s">
        <v>15</v>
      </c>
    </row>
    <row r="550" spans="1:14" x14ac:dyDescent="0.2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3">
        <v>50000</v>
      </c>
      <c r="E553">
        <v>4</v>
      </c>
      <c r="F553" t="s">
        <v>13</v>
      </c>
      <c r="G553" t="s">
        <v>28</v>
      </c>
      <c r="H553" t="s">
        <v>15</v>
      </c>
      <c r="I553">
        <v>2</v>
      </c>
      <c r="J553" t="s">
        <v>47</v>
      </c>
      <c r="K553" t="s">
        <v>32</v>
      </c>
      <c r="L553">
        <v>63</v>
      </c>
      <c r="M553" t="str">
        <f t="shared" si="8"/>
        <v>55+</v>
      </c>
      <c r="N553" t="s">
        <v>18</v>
      </c>
    </row>
    <row r="554" spans="1:14" x14ac:dyDescent="0.25">
      <c r="A554">
        <v>14417</v>
      </c>
      <c r="B554" t="s">
        <v>38</v>
      </c>
      <c r="C554" t="s">
        <v>40</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37</v>
      </c>
      <c r="C555" t="s">
        <v>40</v>
      </c>
      <c r="D555" s="3">
        <v>40000</v>
      </c>
      <c r="E555">
        <v>3</v>
      </c>
      <c r="F555" t="s">
        <v>19</v>
      </c>
      <c r="G555" t="s">
        <v>21</v>
      </c>
      <c r="H555" t="s">
        <v>18</v>
      </c>
      <c r="I555">
        <v>2</v>
      </c>
      <c r="J555" t="s">
        <v>23</v>
      </c>
      <c r="K555" t="s">
        <v>32</v>
      </c>
      <c r="L555">
        <v>73</v>
      </c>
      <c r="M555" t="str">
        <f t="shared" si="8"/>
        <v>55+</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39</v>
      </c>
      <c r="D561" s="3">
        <v>60000</v>
      </c>
      <c r="E561">
        <v>2</v>
      </c>
      <c r="F561" t="s">
        <v>13</v>
      </c>
      <c r="G561" t="s">
        <v>28</v>
      </c>
      <c r="H561" t="s">
        <v>15</v>
      </c>
      <c r="I561">
        <v>0</v>
      </c>
      <c r="J561" t="s">
        <v>47</v>
      </c>
      <c r="K561" t="s">
        <v>32</v>
      </c>
      <c r="L561">
        <v>58</v>
      </c>
      <c r="M561" t="str">
        <f t="shared" si="8"/>
        <v>55+</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39</v>
      </c>
      <c r="D565" s="3">
        <v>30000</v>
      </c>
      <c r="E565">
        <v>0</v>
      </c>
      <c r="F565" t="s">
        <v>19</v>
      </c>
      <c r="G565" t="s">
        <v>14</v>
      </c>
      <c r="H565" t="s">
        <v>15</v>
      </c>
      <c r="I565">
        <v>1</v>
      </c>
      <c r="J565" t="s">
        <v>23</v>
      </c>
      <c r="K565" t="s">
        <v>32</v>
      </c>
      <c r="L565">
        <v>28</v>
      </c>
      <c r="M565" t="str">
        <f t="shared" si="8"/>
        <v>25–30</v>
      </c>
      <c r="N565" t="s">
        <v>18</v>
      </c>
    </row>
    <row r="566" spans="1:14" x14ac:dyDescent="0.25">
      <c r="A566">
        <v>17369</v>
      </c>
      <c r="B566" t="s">
        <v>38</v>
      </c>
      <c r="C566" t="s">
        <v>40</v>
      </c>
      <c r="D566" s="3">
        <v>30000</v>
      </c>
      <c r="E566">
        <v>0</v>
      </c>
      <c r="F566" t="s">
        <v>19</v>
      </c>
      <c r="G566" t="s">
        <v>14</v>
      </c>
      <c r="H566" t="s">
        <v>15</v>
      </c>
      <c r="I566">
        <v>1</v>
      </c>
      <c r="J566" t="s">
        <v>23</v>
      </c>
      <c r="K566" t="s">
        <v>32</v>
      </c>
      <c r="L566">
        <v>27</v>
      </c>
      <c r="M566" t="str">
        <f t="shared" si="8"/>
        <v>25–30</v>
      </c>
      <c r="N566" t="s">
        <v>18</v>
      </c>
    </row>
    <row r="567" spans="1:14" x14ac:dyDescent="0.25">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55+</v>
      </c>
      <c r="N568" t="s">
        <v>18</v>
      </c>
    </row>
    <row r="569" spans="1:14" x14ac:dyDescent="0.25">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40</v>
      </c>
      <c r="D571" s="3">
        <v>50000</v>
      </c>
      <c r="E571">
        <v>3</v>
      </c>
      <c r="F571" t="s">
        <v>31</v>
      </c>
      <c r="G571" t="s">
        <v>28</v>
      </c>
      <c r="H571" t="s">
        <v>15</v>
      </c>
      <c r="I571">
        <v>2</v>
      </c>
      <c r="J571" t="s">
        <v>47</v>
      </c>
      <c r="K571" t="s">
        <v>32</v>
      </c>
      <c r="L571">
        <v>69</v>
      </c>
      <c r="M571" t="str">
        <f t="shared" si="8"/>
        <v>55+</v>
      </c>
      <c r="N571" t="s">
        <v>18</v>
      </c>
    </row>
    <row r="572" spans="1:14" x14ac:dyDescent="0.25">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40</v>
      </c>
      <c r="D573" s="3">
        <v>40000</v>
      </c>
      <c r="E573">
        <v>2</v>
      </c>
      <c r="F573" t="s">
        <v>29</v>
      </c>
      <c r="G573" t="s">
        <v>14</v>
      </c>
      <c r="H573" t="s">
        <v>15</v>
      </c>
      <c r="I573">
        <v>2</v>
      </c>
      <c r="J573" t="s">
        <v>22</v>
      </c>
      <c r="K573" t="s">
        <v>32</v>
      </c>
      <c r="L573">
        <v>55</v>
      </c>
      <c r="M573" t="str">
        <f t="shared" si="8"/>
        <v>55+</v>
      </c>
      <c r="N573" t="s">
        <v>18</v>
      </c>
    </row>
    <row r="574" spans="1:14" x14ac:dyDescent="0.25">
      <c r="A574">
        <v>23549</v>
      </c>
      <c r="B574" t="s">
        <v>38</v>
      </c>
      <c r="C574" t="s">
        <v>40</v>
      </c>
      <c r="D574" s="3">
        <v>30000</v>
      </c>
      <c r="E574">
        <v>0</v>
      </c>
      <c r="F574" t="s">
        <v>27</v>
      </c>
      <c r="G574" t="s">
        <v>14</v>
      </c>
      <c r="H574" t="s">
        <v>15</v>
      </c>
      <c r="I574">
        <v>2</v>
      </c>
      <c r="J574" t="s">
        <v>23</v>
      </c>
      <c r="K574" t="s">
        <v>32</v>
      </c>
      <c r="L574">
        <v>30</v>
      </c>
      <c r="M574" t="str">
        <f t="shared" si="8"/>
        <v>25–30</v>
      </c>
      <c r="N574" t="s">
        <v>18</v>
      </c>
    </row>
    <row r="575" spans="1:14" x14ac:dyDescent="0.25">
      <c r="A575">
        <v>21751</v>
      </c>
      <c r="B575" t="s">
        <v>37</v>
      </c>
      <c r="C575" t="s">
        <v>40</v>
      </c>
      <c r="D575" s="3">
        <v>60000</v>
      </c>
      <c r="E575">
        <v>3</v>
      </c>
      <c r="F575" t="s">
        <v>31</v>
      </c>
      <c r="G575" t="s">
        <v>28</v>
      </c>
      <c r="H575" t="s">
        <v>15</v>
      </c>
      <c r="I575">
        <v>2</v>
      </c>
      <c r="J575" t="s">
        <v>26</v>
      </c>
      <c r="K575" t="s">
        <v>32</v>
      </c>
      <c r="L575">
        <v>63</v>
      </c>
      <c r="M575" t="str">
        <f t="shared" si="8"/>
        <v>55+</v>
      </c>
      <c r="N575" t="s">
        <v>18</v>
      </c>
    </row>
    <row r="576" spans="1:14" x14ac:dyDescent="0.2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40</v>
      </c>
      <c r="D577" s="3">
        <v>60000</v>
      </c>
      <c r="E577">
        <v>2</v>
      </c>
      <c r="F577" t="s">
        <v>19</v>
      </c>
      <c r="G577" t="s">
        <v>21</v>
      </c>
      <c r="H577" t="s">
        <v>15</v>
      </c>
      <c r="I577">
        <v>1</v>
      </c>
      <c r="J577" t="s">
        <v>47</v>
      </c>
      <c r="K577" t="s">
        <v>32</v>
      </c>
      <c r="L577">
        <v>56</v>
      </c>
      <c r="M577" t="str">
        <f t="shared" si="8"/>
        <v>55+</v>
      </c>
      <c r="N577" t="s">
        <v>18</v>
      </c>
    </row>
    <row r="578" spans="1:14" x14ac:dyDescent="0.2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40</v>
      </c>
      <c r="D579" s="3">
        <v>120000</v>
      </c>
      <c r="E579">
        <v>1</v>
      </c>
      <c r="F579" t="s">
        <v>13</v>
      </c>
      <c r="G579" t="s">
        <v>28</v>
      </c>
      <c r="H579" t="s">
        <v>15</v>
      </c>
      <c r="I579">
        <v>4</v>
      </c>
      <c r="J579" t="s">
        <v>16</v>
      </c>
      <c r="K579" t="s">
        <v>32</v>
      </c>
      <c r="L579">
        <v>38</v>
      </c>
      <c r="M579" t="str">
        <f t="shared" ref="M579:M642" si="9">IF(L579&gt;54,"55+",IF(L579&gt;=31,"Middle Age",IF(L579&lt;31,"25–30","Invalid")))</f>
        <v>Middle Age</v>
      </c>
      <c r="N579" t="s">
        <v>18</v>
      </c>
    </row>
    <row r="580" spans="1:14" x14ac:dyDescent="0.25">
      <c r="A580">
        <v>15313</v>
      </c>
      <c r="B580" t="s">
        <v>37</v>
      </c>
      <c r="C580" t="s">
        <v>40</v>
      </c>
      <c r="D580" s="3">
        <v>60000</v>
      </c>
      <c r="E580">
        <v>4</v>
      </c>
      <c r="F580" t="s">
        <v>13</v>
      </c>
      <c r="G580" t="s">
        <v>28</v>
      </c>
      <c r="H580" t="s">
        <v>15</v>
      </c>
      <c r="I580">
        <v>2</v>
      </c>
      <c r="J580" t="s">
        <v>22</v>
      </c>
      <c r="K580" t="s">
        <v>32</v>
      </c>
      <c r="L580">
        <v>59</v>
      </c>
      <c r="M580" t="str">
        <f t="shared" si="9"/>
        <v>55+</v>
      </c>
      <c r="N580" t="s">
        <v>18</v>
      </c>
    </row>
    <row r="581" spans="1:14" x14ac:dyDescent="0.2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3">
        <v>60000</v>
      </c>
      <c r="E582">
        <v>3</v>
      </c>
      <c r="F582" t="s">
        <v>31</v>
      </c>
      <c r="G582" t="s">
        <v>28</v>
      </c>
      <c r="H582" t="s">
        <v>15</v>
      </c>
      <c r="I582">
        <v>2</v>
      </c>
      <c r="J582" t="s">
        <v>47</v>
      </c>
      <c r="K582" t="s">
        <v>32</v>
      </c>
      <c r="L582">
        <v>69</v>
      </c>
      <c r="M582" t="str">
        <f t="shared" si="9"/>
        <v>55+</v>
      </c>
      <c r="N582" t="s">
        <v>18</v>
      </c>
    </row>
    <row r="583" spans="1:14" x14ac:dyDescent="0.25">
      <c r="A583">
        <v>23089</v>
      </c>
      <c r="B583" t="s">
        <v>37</v>
      </c>
      <c r="C583" t="s">
        <v>40</v>
      </c>
      <c r="D583" s="3">
        <v>40000</v>
      </c>
      <c r="E583">
        <v>0</v>
      </c>
      <c r="F583" t="s">
        <v>19</v>
      </c>
      <c r="G583" t="s">
        <v>14</v>
      </c>
      <c r="H583" t="s">
        <v>15</v>
      </c>
      <c r="I583">
        <v>1</v>
      </c>
      <c r="J583" t="s">
        <v>23</v>
      </c>
      <c r="K583" t="s">
        <v>32</v>
      </c>
      <c r="L583">
        <v>28</v>
      </c>
      <c r="M583" t="str">
        <f t="shared" si="9"/>
        <v>25–30</v>
      </c>
      <c r="N583" t="s">
        <v>18</v>
      </c>
    </row>
    <row r="584" spans="1:14" x14ac:dyDescent="0.25">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40</v>
      </c>
      <c r="D585" s="3">
        <v>60000</v>
      </c>
      <c r="E585">
        <v>3</v>
      </c>
      <c r="F585" t="s">
        <v>13</v>
      </c>
      <c r="G585" t="s">
        <v>28</v>
      </c>
      <c r="H585" t="s">
        <v>15</v>
      </c>
      <c r="I585">
        <v>2</v>
      </c>
      <c r="J585" t="s">
        <v>47</v>
      </c>
      <c r="K585" t="s">
        <v>32</v>
      </c>
      <c r="L585">
        <v>66</v>
      </c>
      <c r="M585" t="str">
        <f t="shared" si="9"/>
        <v>55+</v>
      </c>
      <c r="N585" t="s">
        <v>18</v>
      </c>
    </row>
    <row r="586" spans="1:14" x14ac:dyDescent="0.25">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38</v>
      </c>
      <c r="C591" t="s">
        <v>40</v>
      </c>
      <c r="D591" s="3">
        <v>60000</v>
      </c>
      <c r="E591">
        <v>2</v>
      </c>
      <c r="F591" t="s">
        <v>13</v>
      </c>
      <c r="G591" t="s">
        <v>28</v>
      </c>
      <c r="H591" t="s">
        <v>15</v>
      </c>
      <c r="I591">
        <v>0</v>
      </c>
      <c r="J591" t="s">
        <v>47</v>
      </c>
      <c r="K591" t="s">
        <v>32</v>
      </c>
      <c r="L591">
        <v>57</v>
      </c>
      <c r="M591" t="str">
        <f t="shared" si="9"/>
        <v>55+</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40</v>
      </c>
      <c r="D593" s="3">
        <v>40000</v>
      </c>
      <c r="E593">
        <v>4</v>
      </c>
      <c r="F593" t="s">
        <v>27</v>
      </c>
      <c r="G593" t="s">
        <v>21</v>
      </c>
      <c r="H593" t="s">
        <v>18</v>
      </c>
      <c r="I593">
        <v>2</v>
      </c>
      <c r="J593" t="s">
        <v>47</v>
      </c>
      <c r="K593" t="s">
        <v>32</v>
      </c>
      <c r="L593">
        <v>61</v>
      </c>
      <c r="M593" t="str">
        <f t="shared" si="9"/>
        <v>55+</v>
      </c>
      <c r="N593" t="s">
        <v>15</v>
      </c>
    </row>
    <row r="594" spans="1:14" x14ac:dyDescent="0.2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40</v>
      </c>
      <c r="D596" s="3">
        <v>80000</v>
      </c>
      <c r="E596">
        <v>4</v>
      </c>
      <c r="F596" t="s">
        <v>31</v>
      </c>
      <c r="G596" t="s">
        <v>28</v>
      </c>
      <c r="H596" t="s">
        <v>15</v>
      </c>
      <c r="I596">
        <v>2</v>
      </c>
      <c r="J596" t="s">
        <v>23</v>
      </c>
      <c r="K596" t="s">
        <v>32</v>
      </c>
      <c r="L596">
        <v>70</v>
      </c>
      <c r="M596" t="str">
        <f t="shared" si="9"/>
        <v>55+</v>
      </c>
      <c r="N596" t="s">
        <v>18</v>
      </c>
    </row>
    <row r="597" spans="1:14" x14ac:dyDescent="0.25">
      <c r="A597">
        <v>18058</v>
      </c>
      <c r="B597" t="s">
        <v>38</v>
      </c>
      <c r="C597" t="s">
        <v>39</v>
      </c>
      <c r="D597" s="3">
        <v>20000</v>
      </c>
      <c r="E597">
        <v>3</v>
      </c>
      <c r="F597" t="s">
        <v>27</v>
      </c>
      <c r="G597" t="s">
        <v>14</v>
      </c>
      <c r="H597" t="s">
        <v>15</v>
      </c>
      <c r="I597">
        <v>2</v>
      </c>
      <c r="J597" t="s">
        <v>22</v>
      </c>
      <c r="K597" t="s">
        <v>32</v>
      </c>
      <c r="L597">
        <v>78</v>
      </c>
      <c r="M597" t="str">
        <f t="shared" si="9"/>
        <v>55+</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40</v>
      </c>
      <c r="D599" s="3">
        <v>40000</v>
      </c>
      <c r="E599">
        <v>2</v>
      </c>
      <c r="F599" t="s">
        <v>27</v>
      </c>
      <c r="G599" t="s">
        <v>21</v>
      </c>
      <c r="H599" t="s">
        <v>18</v>
      </c>
      <c r="I599">
        <v>1</v>
      </c>
      <c r="J599" t="s">
        <v>22</v>
      </c>
      <c r="K599" t="s">
        <v>32</v>
      </c>
      <c r="L599">
        <v>58</v>
      </c>
      <c r="M599" t="str">
        <f t="shared" si="9"/>
        <v>55+</v>
      </c>
      <c r="N599" t="s">
        <v>15</v>
      </c>
    </row>
    <row r="600" spans="1:14" x14ac:dyDescent="0.25">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55+</v>
      </c>
      <c r="N601" t="s">
        <v>15</v>
      </c>
    </row>
    <row r="602" spans="1:14" x14ac:dyDescent="0.25">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40</v>
      </c>
      <c r="D606" s="3">
        <v>40000</v>
      </c>
      <c r="E606">
        <v>0</v>
      </c>
      <c r="F606" t="s">
        <v>27</v>
      </c>
      <c r="G606" t="s">
        <v>14</v>
      </c>
      <c r="H606" t="s">
        <v>15</v>
      </c>
      <c r="I606">
        <v>2</v>
      </c>
      <c r="J606" t="s">
        <v>23</v>
      </c>
      <c r="K606" t="s">
        <v>32</v>
      </c>
      <c r="L606">
        <v>27</v>
      </c>
      <c r="M606" t="str">
        <f t="shared" si="9"/>
        <v>25–30</v>
      </c>
      <c r="N606" t="s">
        <v>18</v>
      </c>
    </row>
    <row r="607" spans="1:14" x14ac:dyDescent="0.25">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39</v>
      </c>
      <c r="D614" s="3">
        <v>30000</v>
      </c>
      <c r="E614">
        <v>0</v>
      </c>
      <c r="F614" t="s">
        <v>29</v>
      </c>
      <c r="G614" t="s">
        <v>20</v>
      </c>
      <c r="H614" t="s">
        <v>15</v>
      </c>
      <c r="I614">
        <v>2</v>
      </c>
      <c r="J614" t="s">
        <v>23</v>
      </c>
      <c r="K614" t="s">
        <v>32</v>
      </c>
      <c r="L614">
        <v>27</v>
      </c>
      <c r="M614" t="str">
        <f t="shared" si="9"/>
        <v>25–30</v>
      </c>
      <c r="N614" t="s">
        <v>18</v>
      </c>
    </row>
    <row r="615" spans="1:14" x14ac:dyDescent="0.25">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39</v>
      </c>
      <c r="D621" s="3">
        <v>40000</v>
      </c>
      <c r="E621">
        <v>0</v>
      </c>
      <c r="F621" t="s">
        <v>27</v>
      </c>
      <c r="G621" t="s">
        <v>14</v>
      </c>
      <c r="H621" t="s">
        <v>15</v>
      </c>
      <c r="I621">
        <v>1</v>
      </c>
      <c r="J621" t="s">
        <v>23</v>
      </c>
      <c r="K621" t="s">
        <v>32</v>
      </c>
      <c r="L621">
        <v>30</v>
      </c>
      <c r="M621" t="str">
        <f t="shared" si="9"/>
        <v>25–30</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40</v>
      </c>
      <c r="D623" s="3">
        <v>70000</v>
      </c>
      <c r="E623">
        <v>4</v>
      </c>
      <c r="F623" t="s">
        <v>13</v>
      </c>
      <c r="G623" t="s">
        <v>28</v>
      </c>
      <c r="H623" t="s">
        <v>15</v>
      </c>
      <c r="I623">
        <v>1</v>
      </c>
      <c r="J623" t="s">
        <v>26</v>
      </c>
      <c r="K623" t="s">
        <v>32</v>
      </c>
      <c r="L623">
        <v>58</v>
      </c>
      <c r="M623" t="str">
        <f t="shared" si="9"/>
        <v>55+</v>
      </c>
      <c r="N623" t="s">
        <v>18</v>
      </c>
    </row>
    <row r="624" spans="1:14" x14ac:dyDescent="0.25">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55+</v>
      </c>
      <c r="N625" t="s">
        <v>18</v>
      </c>
    </row>
    <row r="626" spans="1:14" x14ac:dyDescent="0.25">
      <c r="A626">
        <v>25943</v>
      </c>
      <c r="B626" t="s">
        <v>38</v>
      </c>
      <c r="C626" t="s">
        <v>39</v>
      </c>
      <c r="D626" s="3">
        <v>70000</v>
      </c>
      <c r="E626">
        <v>0</v>
      </c>
      <c r="F626" t="s">
        <v>19</v>
      </c>
      <c r="G626" t="s">
        <v>14</v>
      </c>
      <c r="H626" t="s">
        <v>18</v>
      </c>
      <c r="I626">
        <v>2</v>
      </c>
      <c r="J626" t="s">
        <v>16</v>
      </c>
      <c r="K626" t="s">
        <v>32</v>
      </c>
      <c r="L626">
        <v>27</v>
      </c>
      <c r="M626" t="str">
        <f t="shared" si="9"/>
        <v>25–30</v>
      </c>
      <c r="N626" t="s">
        <v>15</v>
      </c>
    </row>
    <row r="627" spans="1:14" x14ac:dyDescent="0.25">
      <c r="A627">
        <v>22127</v>
      </c>
      <c r="B627" t="s">
        <v>37</v>
      </c>
      <c r="C627" t="s">
        <v>40</v>
      </c>
      <c r="D627" s="3">
        <v>60000</v>
      </c>
      <c r="E627">
        <v>3</v>
      </c>
      <c r="F627" t="s">
        <v>31</v>
      </c>
      <c r="G627" t="s">
        <v>28</v>
      </c>
      <c r="H627" t="s">
        <v>15</v>
      </c>
      <c r="I627">
        <v>2</v>
      </c>
      <c r="J627" t="s">
        <v>26</v>
      </c>
      <c r="K627" t="s">
        <v>32</v>
      </c>
      <c r="L627">
        <v>67</v>
      </c>
      <c r="M627" t="str">
        <f t="shared" si="9"/>
        <v>55+</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25–30</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55+</v>
      </c>
      <c r="N629" t="s">
        <v>18</v>
      </c>
    </row>
    <row r="630" spans="1:14" x14ac:dyDescent="0.25">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40</v>
      </c>
      <c r="D632" s="3">
        <v>40000</v>
      </c>
      <c r="E632">
        <v>0</v>
      </c>
      <c r="F632" t="s">
        <v>27</v>
      </c>
      <c r="G632" t="s">
        <v>14</v>
      </c>
      <c r="H632" t="s">
        <v>18</v>
      </c>
      <c r="I632">
        <v>2</v>
      </c>
      <c r="J632" t="s">
        <v>26</v>
      </c>
      <c r="K632" t="s">
        <v>32</v>
      </c>
      <c r="L632">
        <v>30</v>
      </c>
      <c r="M632" t="str">
        <f t="shared" si="9"/>
        <v>25–30</v>
      </c>
      <c r="N632" t="s">
        <v>18</v>
      </c>
    </row>
    <row r="633" spans="1:14" x14ac:dyDescent="0.25">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40</v>
      </c>
      <c r="D636" s="3">
        <v>60000</v>
      </c>
      <c r="E636">
        <v>3</v>
      </c>
      <c r="F636" t="s">
        <v>13</v>
      </c>
      <c r="G636" t="s">
        <v>28</v>
      </c>
      <c r="H636" t="s">
        <v>18</v>
      </c>
      <c r="I636">
        <v>2</v>
      </c>
      <c r="J636" t="s">
        <v>26</v>
      </c>
      <c r="K636" t="s">
        <v>32</v>
      </c>
      <c r="L636">
        <v>66</v>
      </c>
      <c r="M636" t="str">
        <f t="shared" si="9"/>
        <v>55+</v>
      </c>
      <c r="N636" t="s">
        <v>18</v>
      </c>
    </row>
    <row r="637" spans="1:14" x14ac:dyDescent="0.2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40</v>
      </c>
      <c r="D639" s="3">
        <v>40000</v>
      </c>
      <c r="E639">
        <v>0</v>
      </c>
      <c r="F639" t="s">
        <v>27</v>
      </c>
      <c r="G639" t="s">
        <v>14</v>
      </c>
      <c r="H639" t="s">
        <v>18</v>
      </c>
      <c r="I639">
        <v>2</v>
      </c>
      <c r="J639" t="s">
        <v>26</v>
      </c>
      <c r="K639" t="s">
        <v>32</v>
      </c>
      <c r="L639">
        <v>30</v>
      </c>
      <c r="M639" t="str">
        <f t="shared" si="9"/>
        <v>25–30</v>
      </c>
      <c r="N639" t="s">
        <v>18</v>
      </c>
    </row>
    <row r="640" spans="1:14" x14ac:dyDescent="0.25">
      <c r="A640">
        <v>18949</v>
      </c>
      <c r="B640" t="s">
        <v>38</v>
      </c>
      <c r="C640" t="s">
        <v>40</v>
      </c>
      <c r="D640" s="3">
        <v>70000</v>
      </c>
      <c r="E640">
        <v>0</v>
      </c>
      <c r="F640" t="s">
        <v>31</v>
      </c>
      <c r="G640" t="s">
        <v>28</v>
      </c>
      <c r="H640" t="s">
        <v>15</v>
      </c>
      <c r="I640">
        <v>2</v>
      </c>
      <c r="J640" t="s">
        <v>23</v>
      </c>
      <c r="K640" t="s">
        <v>32</v>
      </c>
      <c r="L640">
        <v>74</v>
      </c>
      <c r="M640" t="str">
        <f t="shared" si="9"/>
        <v>55+</v>
      </c>
      <c r="N640" t="s">
        <v>15</v>
      </c>
    </row>
    <row r="641" spans="1:14" x14ac:dyDescent="0.25">
      <c r="A641">
        <v>14507</v>
      </c>
      <c r="B641" t="s">
        <v>37</v>
      </c>
      <c r="C641" t="s">
        <v>40</v>
      </c>
      <c r="D641" s="3">
        <v>100000</v>
      </c>
      <c r="E641">
        <v>2</v>
      </c>
      <c r="F641" t="s">
        <v>31</v>
      </c>
      <c r="G641" t="s">
        <v>28</v>
      </c>
      <c r="H641" t="s">
        <v>15</v>
      </c>
      <c r="I641">
        <v>3</v>
      </c>
      <c r="J641" t="s">
        <v>26</v>
      </c>
      <c r="K641" t="s">
        <v>32</v>
      </c>
      <c r="L641">
        <v>65</v>
      </c>
      <c r="M641" t="str">
        <f t="shared" si="9"/>
        <v>55+</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si="9"/>
        <v>55+</v>
      </c>
      <c r="N642" t="s">
        <v>15</v>
      </c>
    </row>
    <row r="643" spans="1:14" x14ac:dyDescent="0.25">
      <c r="A643">
        <v>21441</v>
      </c>
      <c r="B643" t="s">
        <v>37</v>
      </c>
      <c r="C643" t="s">
        <v>40</v>
      </c>
      <c r="D643" s="3">
        <v>50000</v>
      </c>
      <c r="E643">
        <v>4</v>
      </c>
      <c r="F643" t="s">
        <v>13</v>
      </c>
      <c r="G643" t="s">
        <v>28</v>
      </c>
      <c r="H643" t="s">
        <v>15</v>
      </c>
      <c r="I643">
        <v>2</v>
      </c>
      <c r="J643" t="s">
        <v>47</v>
      </c>
      <c r="K643" t="s">
        <v>32</v>
      </c>
      <c r="L643">
        <v>64</v>
      </c>
      <c r="M643" t="str">
        <f t="shared" ref="M643:M706" si="10">IF(L643&gt;54,"55+",IF(L643&gt;=31,"Middle Age",IF(L643&lt;31,"25–30","Invalid")))</f>
        <v>55+</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39</v>
      </c>
      <c r="D650" s="3">
        <v>70000</v>
      </c>
      <c r="E650">
        <v>2</v>
      </c>
      <c r="F650" t="s">
        <v>13</v>
      </c>
      <c r="G650" t="s">
        <v>28</v>
      </c>
      <c r="H650" t="s">
        <v>18</v>
      </c>
      <c r="I650">
        <v>1</v>
      </c>
      <c r="J650" t="s">
        <v>22</v>
      </c>
      <c r="K650" t="s">
        <v>32</v>
      </c>
      <c r="L650">
        <v>58</v>
      </c>
      <c r="M650" t="str">
        <f t="shared" si="10"/>
        <v>55+</v>
      </c>
      <c r="N650" t="s">
        <v>15</v>
      </c>
    </row>
    <row r="651" spans="1:14" x14ac:dyDescent="0.2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39</v>
      </c>
      <c r="D652" s="3">
        <v>70000</v>
      </c>
      <c r="E652">
        <v>5</v>
      </c>
      <c r="F652" t="s">
        <v>31</v>
      </c>
      <c r="G652" t="s">
        <v>28</v>
      </c>
      <c r="H652" t="s">
        <v>15</v>
      </c>
      <c r="I652">
        <v>2</v>
      </c>
      <c r="J652" t="s">
        <v>47</v>
      </c>
      <c r="K652" t="s">
        <v>32</v>
      </c>
      <c r="L652">
        <v>67</v>
      </c>
      <c r="M652" t="str">
        <f t="shared" si="10"/>
        <v>55+</v>
      </c>
      <c r="N652" t="s">
        <v>15</v>
      </c>
    </row>
    <row r="653" spans="1:14" x14ac:dyDescent="0.25">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39</v>
      </c>
      <c r="D661" s="3">
        <v>60000</v>
      </c>
      <c r="E661">
        <v>4</v>
      </c>
      <c r="F661" t="s">
        <v>13</v>
      </c>
      <c r="G661" t="s">
        <v>28</v>
      </c>
      <c r="H661" t="s">
        <v>15</v>
      </c>
      <c r="I661">
        <v>2</v>
      </c>
      <c r="J661" t="s">
        <v>47</v>
      </c>
      <c r="K661" t="s">
        <v>32</v>
      </c>
      <c r="L661">
        <v>63</v>
      </c>
      <c r="M661" t="str">
        <f t="shared" si="10"/>
        <v>55+</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40</v>
      </c>
      <c r="D663" s="3">
        <v>40000</v>
      </c>
      <c r="E663">
        <v>0</v>
      </c>
      <c r="F663" t="s">
        <v>27</v>
      </c>
      <c r="G663" t="s">
        <v>14</v>
      </c>
      <c r="H663" t="s">
        <v>18</v>
      </c>
      <c r="I663">
        <v>2</v>
      </c>
      <c r="J663" t="s">
        <v>16</v>
      </c>
      <c r="K663" t="s">
        <v>32</v>
      </c>
      <c r="L663">
        <v>28</v>
      </c>
      <c r="M663" t="str">
        <f t="shared" si="10"/>
        <v>25–30</v>
      </c>
      <c r="N663" t="s">
        <v>15</v>
      </c>
    </row>
    <row r="664" spans="1:14" x14ac:dyDescent="0.2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3">
        <v>40000</v>
      </c>
      <c r="E669">
        <v>5</v>
      </c>
      <c r="F669" t="s">
        <v>27</v>
      </c>
      <c r="G669" t="s">
        <v>21</v>
      </c>
      <c r="H669" t="s">
        <v>18</v>
      </c>
      <c r="I669">
        <v>2</v>
      </c>
      <c r="J669" t="s">
        <v>47</v>
      </c>
      <c r="K669" t="s">
        <v>32</v>
      </c>
      <c r="L669">
        <v>61</v>
      </c>
      <c r="M669" t="str">
        <f t="shared" si="10"/>
        <v>55+</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40</v>
      </c>
      <c r="D672" s="3">
        <v>70000</v>
      </c>
      <c r="E672">
        <v>2</v>
      </c>
      <c r="F672" t="s">
        <v>19</v>
      </c>
      <c r="G672" t="s">
        <v>21</v>
      </c>
      <c r="H672" t="s">
        <v>15</v>
      </c>
      <c r="I672">
        <v>1</v>
      </c>
      <c r="J672" t="s">
        <v>47</v>
      </c>
      <c r="K672" t="s">
        <v>32</v>
      </c>
      <c r="L672">
        <v>59</v>
      </c>
      <c r="M672" t="str">
        <f t="shared" si="10"/>
        <v>55+</v>
      </c>
      <c r="N672" t="s">
        <v>18</v>
      </c>
    </row>
    <row r="673" spans="1:14" x14ac:dyDescent="0.2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39</v>
      </c>
      <c r="D674" s="3">
        <v>40000</v>
      </c>
      <c r="E674">
        <v>0</v>
      </c>
      <c r="F674" t="s">
        <v>27</v>
      </c>
      <c r="G674" t="s">
        <v>14</v>
      </c>
      <c r="H674" t="s">
        <v>15</v>
      </c>
      <c r="I674">
        <v>2</v>
      </c>
      <c r="J674" t="s">
        <v>23</v>
      </c>
      <c r="K674" t="s">
        <v>32</v>
      </c>
      <c r="L674">
        <v>30</v>
      </c>
      <c r="M674" t="str">
        <f t="shared" si="10"/>
        <v>25–30</v>
      </c>
      <c r="N674" t="s">
        <v>18</v>
      </c>
    </row>
    <row r="675" spans="1:14" x14ac:dyDescent="0.2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40</v>
      </c>
      <c r="D680" s="3">
        <v>80000</v>
      </c>
      <c r="E680">
        <v>5</v>
      </c>
      <c r="F680" t="s">
        <v>13</v>
      </c>
      <c r="G680" t="s">
        <v>28</v>
      </c>
      <c r="H680" t="s">
        <v>18</v>
      </c>
      <c r="I680">
        <v>2</v>
      </c>
      <c r="J680" t="s">
        <v>22</v>
      </c>
      <c r="K680" t="s">
        <v>17</v>
      </c>
      <c r="L680">
        <v>62</v>
      </c>
      <c r="M680" t="str">
        <f t="shared" si="10"/>
        <v>55+</v>
      </c>
      <c r="N680" t="s">
        <v>18</v>
      </c>
    </row>
    <row r="681" spans="1:14" x14ac:dyDescent="0.25">
      <c r="A681">
        <v>21770</v>
      </c>
      <c r="B681" t="s">
        <v>37</v>
      </c>
      <c r="C681" t="s">
        <v>40</v>
      </c>
      <c r="D681" s="3">
        <v>60000</v>
      </c>
      <c r="E681">
        <v>4</v>
      </c>
      <c r="F681" t="s">
        <v>13</v>
      </c>
      <c r="G681" t="s">
        <v>28</v>
      </c>
      <c r="H681" t="s">
        <v>15</v>
      </c>
      <c r="I681">
        <v>2</v>
      </c>
      <c r="J681" t="s">
        <v>47</v>
      </c>
      <c r="K681" t="s">
        <v>32</v>
      </c>
      <c r="L681">
        <v>60</v>
      </c>
      <c r="M681" t="str">
        <f t="shared" si="10"/>
        <v>55+</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40</v>
      </c>
      <c r="D689" s="3">
        <v>30000</v>
      </c>
      <c r="E689">
        <v>0</v>
      </c>
      <c r="F689" t="s">
        <v>19</v>
      </c>
      <c r="G689" t="s">
        <v>14</v>
      </c>
      <c r="H689" t="s">
        <v>15</v>
      </c>
      <c r="I689">
        <v>2</v>
      </c>
      <c r="J689" t="s">
        <v>23</v>
      </c>
      <c r="K689" t="s">
        <v>32</v>
      </c>
      <c r="L689">
        <v>30</v>
      </c>
      <c r="M689" t="str">
        <f t="shared" si="10"/>
        <v>25–30</v>
      </c>
      <c r="N689" t="s">
        <v>18</v>
      </c>
    </row>
    <row r="690" spans="1:14" x14ac:dyDescent="0.25">
      <c r="A690">
        <v>11699</v>
      </c>
      <c r="B690" t="s">
        <v>38</v>
      </c>
      <c r="C690" t="s">
        <v>40</v>
      </c>
      <c r="D690" s="3">
        <v>60000</v>
      </c>
      <c r="E690">
        <v>0</v>
      </c>
      <c r="F690" t="s">
        <v>13</v>
      </c>
      <c r="G690" t="s">
        <v>14</v>
      </c>
      <c r="H690" t="s">
        <v>18</v>
      </c>
      <c r="I690">
        <v>2</v>
      </c>
      <c r="J690" t="s">
        <v>16</v>
      </c>
      <c r="K690" t="s">
        <v>32</v>
      </c>
      <c r="L690">
        <v>30</v>
      </c>
      <c r="M690" t="str">
        <f t="shared" si="10"/>
        <v>25–30</v>
      </c>
      <c r="N690" t="s">
        <v>18</v>
      </c>
    </row>
    <row r="691" spans="1:14" x14ac:dyDescent="0.25">
      <c r="A691">
        <v>16725</v>
      </c>
      <c r="B691" t="s">
        <v>37</v>
      </c>
      <c r="C691" t="s">
        <v>40</v>
      </c>
      <c r="D691" s="3">
        <v>30000</v>
      </c>
      <c r="E691">
        <v>0</v>
      </c>
      <c r="F691" t="s">
        <v>27</v>
      </c>
      <c r="G691" t="s">
        <v>14</v>
      </c>
      <c r="H691" t="s">
        <v>15</v>
      </c>
      <c r="I691">
        <v>2</v>
      </c>
      <c r="J691" t="s">
        <v>23</v>
      </c>
      <c r="K691" t="s">
        <v>32</v>
      </c>
      <c r="L691">
        <v>26</v>
      </c>
      <c r="M691" t="str">
        <f t="shared" si="10"/>
        <v>25–30</v>
      </c>
      <c r="N691" t="s">
        <v>18</v>
      </c>
    </row>
    <row r="692" spans="1:14" x14ac:dyDescent="0.2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40</v>
      </c>
      <c r="D698" s="3">
        <v>60000</v>
      </c>
      <c r="E698">
        <v>0</v>
      </c>
      <c r="F698" t="s">
        <v>19</v>
      </c>
      <c r="G698" t="s">
        <v>21</v>
      </c>
      <c r="H698" t="s">
        <v>18</v>
      </c>
      <c r="I698">
        <v>2</v>
      </c>
      <c r="J698" t="s">
        <v>26</v>
      </c>
      <c r="K698" t="s">
        <v>32</v>
      </c>
      <c r="L698">
        <v>30</v>
      </c>
      <c r="M698" t="str">
        <f t="shared" si="10"/>
        <v>25–30</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25–30</v>
      </c>
      <c r="N699" t="s">
        <v>18</v>
      </c>
    </row>
    <row r="700" spans="1:14" x14ac:dyDescent="0.25">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55+</v>
      </c>
      <c r="N702" t="s">
        <v>18</v>
      </c>
    </row>
    <row r="703" spans="1:14" x14ac:dyDescent="0.25">
      <c r="A703">
        <v>22014</v>
      </c>
      <c r="B703" t="s">
        <v>38</v>
      </c>
      <c r="C703" t="s">
        <v>40</v>
      </c>
      <c r="D703" s="3">
        <v>30000</v>
      </c>
      <c r="E703">
        <v>0</v>
      </c>
      <c r="F703" t="s">
        <v>27</v>
      </c>
      <c r="G703" t="s">
        <v>14</v>
      </c>
      <c r="H703" t="s">
        <v>15</v>
      </c>
      <c r="I703">
        <v>2</v>
      </c>
      <c r="J703" t="s">
        <v>23</v>
      </c>
      <c r="K703" t="s">
        <v>32</v>
      </c>
      <c r="L703">
        <v>26</v>
      </c>
      <c r="M703" t="str">
        <f t="shared" si="10"/>
        <v>25–30</v>
      </c>
      <c r="N703" t="s">
        <v>18</v>
      </c>
    </row>
    <row r="704" spans="1:14" x14ac:dyDescent="0.25">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39</v>
      </c>
      <c r="D707" s="3">
        <v>70000</v>
      </c>
      <c r="E707">
        <v>4</v>
      </c>
      <c r="F707" t="s">
        <v>13</v>
      </c>
      <c r="G707" t="s">
        <v>28</v>
      </c>
      <c r="H707" t="s">
        <v>15</v>
      </c>
      <c r="I707">
        <v>1</v>
      </c>
      <c r="J707" t="s">
        <v>47</v>
      </c>
      <c r="K707" t="s">
        <v>32</v>
      </c>
      <c r="L707">
        <v>59</v>
      </c>
      <c r="M707" t="str">
        <f t="shared" ref="M707:M770" si="11">IF(L707&gt;54,"55+",IF(L707&gt;=31,"Middle Age",IF(L707&lt;31,"25–30","Invalid")))</f>
        <v>55+</v>
      </c>
      <c r="N707" t="s">
        <v>18</v>
      </c>
    </row>
    <row r="708" spans="1:14" x14ac:dyDescent="0.2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40</v>
      </c>
      <c r="D710" s="3">
        <v>70000</v>
      </c>
      <c r="E710">
        <v>5</v>
      </c>
      <c r="F710" t="s">
        <v>13</v>
      </c>
      <c r="G710" t="s">
        <v>28</v>
      </c>
      <c r="H710" t="s">
        <v>15</v>
      </c>
      <c r="I710">
        <v>4</v>
      </c>
      <c r="J710" t="s">
        <v>47</v>
      </c>
      <c r="K710" t="s">
        <v>32</v>
      </c>
      <c r="L710">
        <v>60</v>
      </c>
      <c r="M710" t="str">
        <f t="shared" si="11"/>
        <v>55+</v>
      </c>
      <c r="N710" t="s">
        <v>18</v>
      </c>
    </row>
    <row r="711" spans="1:14" x14ac:dyDescent="0.25">
      <c r="A711">
        <v>23712</v>
      </c>
      <c r="B711" t="s">
        <v>38</v>
      </c>
      <c r="C711" t="s">
        <v>39</v>
      </c>
      <c r="D711" s="3">
        <v>70000</v>
      </c>
      <c r="E711">
        <v>2</v>
      </c>
      <c r="F711" t="s">
        <v>13</v>
      </c>
      <c r="G711" t="s">
        <v>28</v>
      </c>
      <c r="H711" t="s">
        <v>15</v>
      </c>
      <c r="I711">
        <v>1</v>
      </c>
      <c r="J711" t="s">
        <v>47</v>
      </c>
      <c r="K711" t="s">
        <v>32</v>
      </c>
      <c r="L711">
        <v>59</v>
      </c>
      <c r="M711" t="str">
        <f t="shared" si="11"/>
        <v>55+</v>
      </c>
      <c r="N711" t="s">
        <v>18</v>
      </c>
    </row>
    <row r="712" spans="1:14" x14ac:dyDescent="0.25">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3">
        <v>70000</v>
      </c>
      <c r="E713">
        <v>2</v>
      </c>
      <c r="F713" t="s">
        <v>19</v>
      </c>
      <c r="G713" t="s">
        <v>21</v>
      </c>
      <c r="H713" t="s">
        <v>15</v>
      </c>
      <c r="I713">
        <v>1</v>
      </c>
      <c r="J713" t="s">
        <v>47</v>
      </c>
      <c r="K713" t="s">
        <v>32</v>
      </c>
      <c r="L713">
        <v>58</v>
      </c>
      <c r="M713" t="str">
        <f t="shared" si="11"/>
        <v>55+</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55+</v>
      </c>
      <c r="N714" t="s">
        <v>18</v>
      </c>
    </row>
    <row r="715" spans="1:14" x14ac:dyDescent="0.2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40</v>
      </c>
      <c r="D716" s="3">
        <v>40000</v>
      </c>
      <c r="E716">
        <v>0</v>
      </c>
      <c r="F716" t="s">
        <v>27</v>
      </c>
      <c r="G716" t="s">
        <v>14</v>
      </c>
      <c r="H716" t="s">
        <v>15</v>
      </c>
      <c r="I716">
        <v>2</v>
      </c>
      <c r="J716" t="s">
        <v>23</v>
      </c>
      <c r="K716" t="s">
        <v>32</v>
      </c>
      <c r="L716">
        <v>28</v>
      </c>
      <c r="M716" t="str">
        <f t="shared" si="11"/>
        <v>25–30</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39</v>
      </c>
      <c r="D722" s="3">
        <v>40000</v>
      </c>
      <c r="E722">
        <v>5</v>
      </c>
      <c r="F722" t="s">
        <v>27</v>
      </c>
      <c r="G722" t="s">
        <v>21</v>
      </c>
      <c r="H722" t="s">
        <v>18</v>
      </c>
      <c r="I722">
        <v>3</v>
      </c>
      <c r="J722" t="s">
        <v>22</v>
      </c>
      <c r="K722" t="s">
        <v>32</v>
      </c>
      <c r="L722">
        <v>60</v>
      </c>
      <c r="M722" t="str">
        <f t="shared" si="11"/>
        <v>55+</v>
      </c>
      <c r="N722" t="s">
        <v>15</v>
      </c>
    </row>
    <row r="723" spans="1:14" x14ac:dyDescent="0.25">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40</v>
      </c>
      <c r="D730" s="3">
        <v>40000</v>
      </c>
      <c r="E730">
        <v>0</v>
      </c>
      <c r="F730" t="s">
        <v>27</v>
      </c>
      <c r="G730" t="s">
        <v>14</v>
      </c>
      <c r="H730" t="s">
        <v>15</v>
      </c>
      <c r="I730">
        <v>2</v>
      </c>
      <c r="J730" t="s">
        <v>23</v>
      </c>
      <c r="K730" t="s">
        <v>32</v>
      </c>
      <c r="L730">
        <v>27</v>
      </c>
      <c r="M730" t="str">
        <f t="shared" si="11"/>
        <v>25–30</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39</v>
      </c>
      <c r="D737" s="3">
        <v>30000</v>
      </c>
      <c r="E737">
        <v>0</v>
      </c>
      <c r="F737" t="s">
        <v>19</v>
      </c>
      <c r="G737" t="s">
        <v>14</v>
      </c>
      <c r="H737" t="s">
        <v>15</v>
      </c>
      <c r="I737">
        <v>1</v>
      </c>
      <c r="J737" t="s">
        <v>23</v>
      </c>
      <c r="K737" t="s">
        <v>32</v>
      </c>
      <c r="L737">
        <v>26</v>
      </c>
      <c r="M737" t="str">
        <f t="shared" si="11"/>
        <v>25–30</v>
      </c>
      <c r="N737" t="s">
        <v>18</v>
      </c>
    </row>
    <row r="738" spans="1:14" x14ac:dyDescent="0.25">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3">
        <v>60000</v>
      </c>
      <c r="E741">
        <v>2</v>
      </c>
      <c r="F741" t="s">
        <v>19</v>
      </c>
      <c r="G741" t="s">
        <v>21</v>
      </c>
      <c r="H741" t="s">
        <v>15</v>
      </c>
      <c r="I741">
        <v>1</v>
      </c>
      <c r="J741" t="s">
        <v>47</v>
      </c>
      <c r="K741" t="s">
        <v>32</v>
      </c>
      <c r="L741">
        <v>55</v>
      </c>
      <c r="M741" t="str">
        <f t="shared" si="11"/>
        <v>55+</v>
      </c>
      <c r="N741" t="s">
        <v>18</v>
      </c>
    </row>
    <row r="742" spans="1:14" x14ac:dyDescent="0.25">
      <c r="A742">
        <v>17657</v>
      </c>
      <c r="B742" t="s">
        <v>37</v>
      </c>
      <c r="C742" t="s">
        <v>40</v>
      </c>
      <c r="D742" s="3">
        <v>40000</v>
      </c>
      <c r="E742">
        <v>4</v>
      </c>
      <c r="F742" t="s">
        <v>19</v>
      </c>
      <c r="G742" t="s">
        <v>20</v>
      </c>
      <c r="H742" t="s">
        <v>18</v>
      </c>
      <c r="I742">
        <v>0</v>
      </c>
      <c r="J742" t="s">
        <v>16</v>
      </c>
      <c r="K742" t="s">
        <v>32</v>
      </c>
      <c r="L742">
        <v>30</v>
      </c>
      <c r="M742" t="str">
        <f t="shared" si="11"/>
        <v>25–30</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40</v>
      </c>
      <c r="D744" s="3">
        <v>30000</v>
      </c>
      <c r="E744">
        <v>0</v>
      </c>
      <c r="F744" t="s">
        <v>27</v>
      </c>
      <c r="G744" t="s">
        <v>14</v>
      </c>
      <c r="H744" t="s">
        <v>15</v>
      </c>
      <c r="I744">
        <v>2</v>
      </c>
      <c r="J744" t="s">
        <v>23</v>
      </c>
      <c r="K744" t="s">
        <v>32</v>
      </c>
      <c r="L744">
        <v>30</v>
      </c>
      <c r="M744" t="str">
        <f t="shared" si="11"/>
        <v>25–30</v>
      </c>
      <c r="N744" t="s">
        <v>18</v>
      </c>
    </row>
    <row r="745" spans="1:14" x14ac:dyDescent="0.25">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3">
        <v>70000</v>
      </c>
      <c r="E746">
        <v>4</v>
      </c>
      <c r="F746" t="s">
        <v>19</v>
      </c>
      <c r="G746" t="s">
        <v>21</v>
      </c>
      <c r="H746" t="s">
        <v>15</v>
      </c>
      <c r="I746">
        <v>1</v>
      </c>
      <c r="J746" t="s">
        <v>47</v>
      </c>
      <c r="K746" t="s">
        <v>32</v>
      </c>
      <c r="L746">
        <v>56</v>
      </c>
      <c r="M746" t="str">
        <f t="shared" si="11"/>
        <v>55+</v>
      </c>
      <c r="N746" t="s">
        <v>18</v>
      </c>
    </row>
    <row r="747" spans="1:14" x14ac:dyDescent="0.25">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3">
        <v>60000</v>
      </c>
      <c r="E748">
        <v>2</v>
      </c>
      <c r="F748" t="s">
        <v>13</v>
      </c>
      <c r="G748" t="s">
        <v>28</v>
      </c>
      <c r="H748" t="s">
        <v>15</v>
      </c>
      <c r="I748">
        <v>0</v>
      </c>
      <c r="J748" t="s">
        <v>47</v>
      </c>
      <c r="K748" t="s">
        <v>32</v>
      </c>
      <c r="L748">
        <v>56</v>
      </c>
      <c r="M748" t="str">
        <f t="shared" si="11"/>
        <v>55+</v>
      </c>
      <c r="N748" t="s">
        <v>18</v>
      </c>
    </row>
    <row r="749" spans="1:14" x14ac:dyDescent="0.2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40</v>
      </c>
      <c r="D750" s="3">
        <v>130000</v>
      </c>
      <c r="E750">
        <v>2</v>
      </c>
      <c r="F750" t="s">
        <v>31</v>
      </c>
      <c r="G750" t="s">
        <v>28</v>
      </c>
      <c r="H750" t="s">
        <v>15</v>
      </c>
      <c r="I750">
        <v>3</v>
      </c>
      <c r="J750" t="s">
        <v>22</v>
      </c>
      <c r="K750" t="s">
        <v>32</v>
      </c>
      <c r="L750">
        <v>69</v>
      </c>
      <c r="M750" t="str">
        <f t="shared" si="11"/>
        <v>55+</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55+</v>
      </c>
      <c r="N751" t="s">
        <v>18</v>
      </c>
    </row>
    <row r="752" spans="1:14" x14ac:dyDescent="0.25">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39</v>
      </c>
      <c r="D755" s="3">
        <v>40000</v>
      </c>
      <c r="E755">
        <v>0</v>
      </c>
      <c r="F755" t="s">
        <v>19</v>
      </c>
      <c r="G755" t="s">
        <v>14</v>
      </c>
      <c r="H755" t="s">
        <v>18</v>
      </c>
      <c r="I755">
        <v>1</v>
      </c>
      <c r="J755" t="s">
        <v>26</v>
      </c>
      <c r="K755" t="s">
        <v>32</v>
      </c>
      <c r="L755">
        <v>27</v>
      </c>
      <c r="M755" t="str">
        <f t="shared" si="11"/>
        <v>25–30</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55+</v>
      </c>
      <c r="N756" t="s">
        <v>15</v>
      </c>
    </row>
    <row r="757" spans="1:14" x14ac:dyDescent="0.25">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3">
        <v>60000</v>
      </c>
      <c r="E763">
        <v>5</v>
      </c>
      <c r="F763" t="s">
        <v>13</v>
      </c>
      <c r="G763" t="s">
        <v>28</v>
      </c>
      <c r="H763" t="s">
        <v>15</v>
      </c>
      <c r="I763">
        <v>3</v>
      </c>
      <c r="J763" t="s">
        <v>47</v>
      </c>
      <c r="K763" t="s">
        <v>32</v>
      </c>
      <c r="L763">
        <v>59</v>
      </c>
      <c r="M763" t="str">
        <f t="shared" si="11"/>
        <v>55+</v>
      </c>
      <c r="N763" t="s">
        <v>18</v>
      </c>
    </row>
    <row r="764" spans="1:14" x14ac:dyDescent="0.25">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25–30</v>
      </c>
      <c r="N766" t="s">
        <v>18</v>
      </c>
    </row>
    <row r="767" spans="1:14" x14ac:dyDescent="0.2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40</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55+</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ref="M771:M834" si="12">IF(L771&gt;54,"55+",IF(L771&gt;=31,"Middle Age",IF(L771&lt;31,"25–30","Invalid")))</f>
        <v>Middle Age</v>
      </c>
      <c r="N771" t="s">
        <v>18</v>
      </c>
    </row>
    <row r="772" spans="1:14" x14ac:dyDescent="0.25">
      <c r="A772">
        <v>17699</v>
      </c>
      <c r="B772" t="s">
        <v>37</v>
      </c>
      <c r="C772" t="s">
        <v>40</v>
      </c>
      <c r="D772" s="3">
        <v>60000</v>
      </c>
      <c r="E772">
        <v>1</v>
      </c>
      <c r="F772" t="s">
        <v>31</v>
      </c>
      <c r="G772" t="s">
        <v>14</v>
      </c>
      <c r="H772" t="s">
        <v>18</v>
      </c>
      <c r="I772">
        <v>0</v>
      </c>
      <c r="J772" t="s">
        <v>16</v>
      </c>
      <c r="K772" t="s">
        <v>32</v>
      </c>
      <c r="L772">
        <v>55</v>
      </c>
      <c r="M772" t="str">
        <f t="shared" si="12"/>
        <v>55+</v>
      </c>
      <c r="N772" t="s">
        <v>18</v>
      </c>
    </row>
    <row r="773" spans="1:14" x14ac:dyDescent="0.25">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40</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38</v>
      </c>
      <c r="C778" t="s">
        <v>40</v>
      </c>
      <c r="D778" s="3">
        <v>70000</v>
      </c>
      <c r="E778">
        <v>2</v>
      </c>
      <c r="F778" t="s">
        <v>13</v>
      </c>
      <c r="G778" t="s">
        <v>28</v>
      </c>
      <c r="H778" t="s">
        <v>18</v>
      </c>
      <c r="I778">
        <v>1</v>
      </c>
      <c r="J778" t="s">
        <v>22</v>
      </c>
      <c r="K778" t="s">
        <v>32</v>
      </c>
      <c r="L778">
        <v>59</v>
      </c>
      <c r="M778" t="str">
        <f t="shared" si="12"/>
        <v>55+</v>
      </c>
      <c r="N778" t="s">
        <v>15</v>
      </c>
    </row>
    <row r="779" spans="1:14" x14ac:dyDescent="0.25">
      <c r="A779">
        <v>13151</v>
      </c>
      <c r="B779" t="s">
        <v>38</v>
      </c>
      <c r="C779" t="s">
        <v>40</v>
      </c>
      <c r="D779" s="3">
        <v>40000</v>
      </c>
      <c r="E779">
        <v>0</v>
      </c>
      <c r="F779" t="s">
        <v>27</v>
      </c>
      <c r="G779" t="s">
        <v>14</v>
      </c>
      <c r="H779" t="s">
        <v>15</v>
      </c>
      <c r="I779">
        <v>2</v>
      </c>
      <c r="J779" t="s">
        <v>23</v>
      </c>
      <c r="K779" t="s">
        <v>32</v>
      </c>
      <c r="L779">
        <v>27</v>
      </c>
      <c r="M779" t="str">
        <f t="shared" si="12"/>
        <v>25–30</v>
      </c>
      <c r="N779" t="s">
        <v>18</v>
      </c>
    </row>
    <row r="780" spans="1:14" x14ac:dyDescent="0.25">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3">
        <v>60000</v>
      </c>
      <c r="E782">
        <v>2</v>
      </c>
      <c r="F782" t="s">
        <v>19</v>
      </c>
      <c r="G782" t="s">
        <v>21</v>
      </c>
      <c r="H782" t="s">
        <v>15</v>
      </c>
      <c r="I782">
        <v>1</v>
      </c>
      <c r="J782" t="s">
        <v>47</v>
      </c>
      <c r="K782" t="s">
        <v>32</v>
      </c>
      <c r="L782">
        <v>55</v>
      </c>
      <c r="M782" t="str">
        <f t="shared" si="12"/>
        <v>55+</v>
      </c>
      <c r="N782" t="s">
        <v>18</v>
      </c>
    </row>
    <row r="783" spans="1:14" x14ac:dyDescent="0.25">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39</v>
      </c>
      <c r="D787" s="3">
        <v>40000</v>
      </c>
      <c r="E787">
        <v>0</v>
      </c>
      <c r="F787" t="s">
        <v>27</v>
      </c>
      <c r="G787" t="s">
        <v>14</v>
      </c>
      <c r="H787" t="s">
        <v>18</v>
      </c>
      <c r="I787">
        <v>2</v>
      </c>
      <c r="J787" t="s">
        <v>16</v>
      </c>
      <c r="K787" t="s">
        <v>32</v>
      </c>
      <c r="L787">
        <v>28</v>
      </c>
      <c r="M787" t="str">
        <f t="shared" si="12"/>
        <v>25–30</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39</v>
      </c>
      <c r="D789" s="3">
        <v>70000</v>
      </c>
      <c r="E789">
        <v>2</v>
      </c>
      <c r="F789" t="s">
        <v>13</v>
      </c>
      <c r="G789" t="s">
        <v>28</v>
      </c>
      <c r="H789" t="s">
        <v>18</v>
      </c>
      <c r="I789">
        <v>1</v>
      </c>
      <c r="J789" t="s">
        <v>22</v>
      </c>
      <c r="K789" t="s">
        <v>32</v>
      </c>
      <c r="L789">
        <v>59</v>
      </c>
      <c r="M789" t="str">
        <f t="shared" si="12"/>
        <v>55+</v>
      </c>
      <c r="N789" t="s">
        <v>15</v>
      </c>
    </row>
    <row r="790" spans="1:14" x14ac:dyDescent="0.2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40</v>
      </c>
      <c r="D793" s="3">
        <v>40000</v>
      </c>
      <c r="E793">
        <v>0</v>
      </c>
      <c r="F793" t="s">
        <v>27</v>
      </c>
      <c r="G793" t="s">
        <v>14</v>
      </c>
      <c r="H793" t="s">
        <v>15</v>
      </c>
      <c r="I793">
        <v>2</v>
      </c>
      <c r="J793" t="s">
        <v>23</v>
      </c>
      <c r="K793" t="s">
        <v>32</v>
      </c>
      <c r="L793">
        <v>28</v>
      </c>
      <c r="M793" t="str">
        <f t="shared" si="12"/>
        <v>25–30</v>
      </c>
      <c r="N793" t="s">
        <v>15</v>
      </c>
    </row>
    <row r="794" spans="1:14" x14ac:dyDescent="0.25">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40</v>
      </c>
      <c r="D796" s="3">
        <v>50000</v>
      </c>
      <c r="E796">
        <v>2</v>
      </c>
      <c r="F796" t="s">
        <v>31</v>
      </c>
      <c r="G796" t="s">
        <v>28</v>
      </c>
      <c r="H796" t="s">
        <v>15</v>
      </c>
      <c r="I796">
        <v>2</v>
      </c>
      <c r="J796" t="s">
        <v>23</v>
      </c>
      <c r="K796" t="s">
        <v>32</v>
      </c>
      <c r="L796">
        <v>69</v>
      </c>
      <c r="M796" t="str">
        <f t="shared" si="12"/>
        <v>55+</v>
      </c>
      <c r="N796" t="s">
        <v>18</v>
      </c>
    </row>
    <row r="797" spans="1:14" x14ac:dyDescent="0.25">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40</v>
      </c>
      <c r="D798" s="3">
        <v>70000</v>
      </c>
      <c r="E798">
        <v>5</v>
      </c>
      <c r="F798" t="s">
        <v>19</v>
      </c>
      <c r="G798" t="s">
        <v>21</v>
      </c>
      <c r="H798" t="s">
        <v>15</v>
      </c>
      <c r="I798">
        <v>2</v>
      </c>
      <c r="J798" t="s">
        <v>26</v>
      </c>
      <c r="K798" t="s">
        <v>32</v>
      </c>
      <c r="L798">
        <v>57</v>
      </c>
      <c r="M798" t="str">
        <f t="shared" si="12"/>
        <v>55+</v>
      </c>
      <c r="N798" t="s">
        <v>15</v>
      </c>
    </row>
    <row r="799" spans="1:14" x14ac:dyDescent="0.25">
      <c r="A799">
        <v>20310</v>
      </c>
      <c r="B799" t="s">
        <v>38</v>
      </c>
      <c r="C799" t="s">
        <v>40</v>
      </c>
      <c r="D799" s="3">
        <v>60000</v>
      </c>
      <c r="E799">
        <v>0</v>
      </c>
      <c r="F799" t="s">
        <v>19</v>
      </c>
      <c r="G799" t="s">
        <v>14</v>
      </c>
      <c r="H799" t="s">
        <v>15</v>
      </c>
      <c r="I799">
        <v>1</v>
      </c>
      <c r="J799" t="s">
        <v>23</v>
      </c>
      <c r="K799" t="s">
        <v>32</v>
      </c>
      <c r="L799">
        <v>27</v>
      </c>
      <c r="M799" t="str">
        <f t="shared" si="12"/>
        <v>25–30</v>
      </c>
      <c r="N799" t="s">
        <v>15</v>
      </c>
    </row>
    <row r="800" spans="1:14" x14ac:dyDescent="0.25">
      <c r="A800">
        <v>22971</v>
      </c>
      <c r="B800" t="s">
        <v>38</v>
      </c>
      <c r="C800" t="s">
        <v>39</v>
      </c>
      <c r="D800" s="3">
        <v>30000</v>
      </c>
      <c r="E800">
        <v>0</v>
      </c>
      <c r="F800" t="s">
        <v>27</v>
      </c>
      <c r="G800" t="s">
        <v>14</v>
      </c>
      <c r="H800" t="s">
        <v>18</v>
      </c>
      <c r="I800">
        <v>2</v>
      </c>
      <c r="J800" t="s">
        <v>16</v>
      </c>
      <c r="K800" t="s">
        <v>32</v>
      </c>
      <c r="L800">
        <v>25</v>
      </c>
      <c r="M800" t="str">
        <f t="shared" si="12"/>
        <v>25–30</v>
      </c>
      <c r="N800" t="s">
        <v>15</v>
      </c>
    </row>
    <row r="801" spans="1:14" x14ac:dyDescent="0.2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40</v>
      </c>
      <c r="D803" s="3">
        <v>70000</v>
      </c>
      <c r="E803">
        <v>4</v>
      </c>
      <c r="F803" t="s">
        <v>31</v>
      </c>
      <c r="G803" t="s">
        <v>28</v>
      </c>
      <c r="H803" t="s">
        <v>15</v>
      </c>
      <c r="I803">
        <v>2</v>
      </c>
      <c r="J803" t="s">
        <v>23</v>
      </c>
      <c r="K803" t="s">
        <v>32</v>
      </c>
      <c r="L803">
        <v>73</v>
      </c>
      <c r="M803" t="str">
        <f t="shared" si="12"/>
        <v>55+</v>
      </c>
      <c r="N803" t="s">
        <v>18</v>
      </c>
    </row>
    <row r="804" spans="1:14" x14ac:dyDescent="0.25">
      <c r="A804">
        <v>28090</v>
      </c>
      <c r="B804" t="s">
        <v>37</v>
      </c>
      <c r="C804" t="s">
        <v>40</v>
      </c>
      <c r="D804" s="3">
        <v>40000</v>
      </c>
      <c r="E804">
        <v>0</v>
      </c>
      <c r="F804" t="s">
        <v>19</v>
      </c>
      <c r="G804" t="s">
        <v>14</v>
      </c>
      <c r="H804" t="s">
        <v>15</v>
      </c>
      <c r="I804">
        <v>1</v>
      </c>
      <c r="J804" t="s">
        <v>23</v>
      </c>
      <c r="K804" t="s">
        <v>32</v>
      </c>
      <c r="L804">
        <v>27</v>
      </c>
      <c r="M804" t="str">
        <f t="shared" si="12"/>
        <v>25–30</v>
      </c>
      <c r="N804" t="s">
        <v>18</v>
      </c>
    </row>
    <row r="805" spans="1:14" x14ac:dyDescent="0.25">
      <c r="A805">
        <v>15255</v>
      </c>
      <c r="B805" t="s">
        <v>37</v>
      </c>
      <c r="C805" t="s">
        <v>40</v>
      </c>
      <c r="D805" s="3">
        <v>40000</v>
      </c>
      <c r="E805">
        <v>0</v>
      </c>
      <c r="F805" t="s">
        <v>27</v>
      </c>
      <c r="G805" t="s">
        <v>14</v>
      </c>
      <c r="H805" t="s">
        <v>15</v>
      </c>
      <c r="I805">
        <v>2</v>
      </c>
      <c r="J805" t="s">
        <v>23</v>
      </c>
      <c r="K805" t="s">
        <v>32</v>
      </c>
      <c r="L805">
        <v>28</v>
      </c>
      <c r="M805" t="str">
        <f t="shared" si="12"/>
        <v>25–30</v>
      </c>
      <c r="N805" t="s">
        <v>15</v>
      </c>
    </row>
    <row r="806" spans="1:14" x14ac:dyDescent="0.25">
      <c r="A806">
        <v>13154</v>
      </c>
      <c r="B806" t="s">
        <v>37</v>
      </c>
      <c r="C806" t="s">
        <v>40</v>
      </c>
      <c r="D806" s="3">
        <v>40000</v>
      </c>
      <c r="E806">
        <v>0</v>
      </c>
      <c r="F806" t="s">
        <v>27</v>
      </c>
      <c r="G806" t="s">
        <v>14</v>
      </c>
      <c r="H806" t="s">
        <v>18</v>
      </c>
      <c r="I806">
        <v>2</v>
      </c>
      <c r="J806" t="s">
        <v>16</v>
      </c>
      <c r="K806" t="s">
        <v>32</v>
      </c>
      <c r="L806">
        <v>27</v>
      </c>
      <c r="M806" t="str">
        <f t="shared" si="12"/>
        <v>25–30</v>
      </c>
      <c r="N806" t="s">
        <v>15</v>
      </c>
    </row>
    <row r="807" spans="1:14" x14ac:dyDescent="0.2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55+</v>
      </c>
      <c r="N811" t="s">
        <v>18</v>
      </c>
    </row>
    <row r="812" spans="1:14" x14ac:dyDescent="0.2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39</v>
      </c>
      <c r="D814" s="3">
        <v>70000</v>
      </c>
      <c r="E814">
        <v>4</v>
      </c>
      <c r="F814" t="s">
        <v>13</v>
      </c>
      <c r="G814" t="s">
        <v>28</v>
      </c>
      <c r="H814" t="s">
        <v>15</v>
      </c>
      <c r="I814">
        <v>2</v>
      </c>
      <c r="J814" t="s">
        <v>47</v>
      </c>
      <c r="K814" t="s">
        <v>32</v>
      </c>
      <c r="L814">
        <v>61</v>
      </c>
      <c r="M814" t="str">
        <f t="shared" si="12"/>
        <v>55+</v>
      </c>
      <c r="N814" t="s">
        <v>18</v>
      </c>
    </row>
    <row r="815" spans="1:14" x14ac:dyDescent="0.25">
      <c r="A815">
        <v>25899</v>
      </c>
      <c r="B815" t="s">
        <v>37</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38</v>
      </c>
      <c r="C816" t="s">
        <v>39</v>
      </c>
      <c r="D816" s="3">
        <v>70000</v>
      </c>
      <c r="E816">
        <v>4</v>
      </c>
      <c r="F816" t="s">
        <v>13</v>
      </c>
      <c r="G816" t="s">
        <v>28</v>
      </c>
      <c r="H816" t="s">
        <v>15</v>
      </c>
      <c r="I816">
        <v>2</v>
      </c>
      <c r="J816" t="s">
        <v>26</v>
      </c>
      <c r="K816" t="s">
        <v>32</v>
      </c>
      <c r="L816">
        <v>62</v>
      </c>
      <c r="M816" t="str">
        <f t="shared" si="12"/>
        <v>55+</v>
      </c>
      <c r="N816" t="s">
        <v>15</v>
      </c>
    </row>
    <row r="817" spans="1:14" x14ac:dyDescent="0.25">
      <c r="A817">
        <v>23333</v>
      </c>
      <c r="B817" t="s">
        <v>37</v>
      </c>
      <c r="C817" t="s">
        <v>40</v>
      </c>
      <c r="D817" s="3">
        <v>40000</v>
      </c>
      <c r="E817">
        <v>0</v>
      </c>
      <c r="F817" t="s">
        <v>19</v>
      </c>
      <c r="G817" t="s">
        <v>14</v>
      </c>
      <c r="H817" t="s">
        <v>18</v>
      </c>
      <c r="I817">
        <v>2</v>
      </c>
      <c r="J817" t="s">
        <v>26</v>
      </c>
      <c r="K817" t="s">
        <v>32</v>
      </c>
      <c r="L817">
        <v>30</v>
      </c>
      <c r="M817" t="str">
        <f t="shared" si="12"/>
        <v>25–30</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40</v>
      </c>
      <c r="D820" s="3">
        <v>40000</v>
      </c>
      <c r="E820">
        <v>0</v>
      </c>
      <c r="F820" t="s">
        <v>19</v>
      </c>
      <c r="G820" t="s">
        <v>14</v>
      </c>
      <c r="H820" t="s">
        <v>15</v>
      </c>
      <c r="I820">
        <v>1</v>
      </c>
      <c r="J820" t="s">
        <v>23</v>
      </c>
      <c r="K820" t="s">
        <v>32</v>
      </c>
      <c r="L820">
        <v>30</v>
      </c>
      <c r="M820" t="str">
        <f t="shared" si="12"/>
        <v>25–30</v>
      </c>
      <c r="N820" t="s">
        <v>18</v>
      </c>
    </row>
    <row r="821" spans="1:14" x14ac:dyDescent="0.25">
      <c r="A821">
        <v>27505</v>
      </c>
      <c r="B821" t="s">
        <v>38</v>
      </c>
      <c r="C821" t="s">
        <v>39</v>
      </c>
      <c r="D821" s="3">
        <v>40000</v>
      </c>
      <c r="E821">
        <v>0</v>
      </c>
      <c r="F821" t="s">
        <v>27</v>
      </c>
      <c r="G821" t="s">
        <v>14</v>
      </c>
      <c r="H821" t="s">
        <v>15</v>
      </c>
      <c r="I821">
        <v>2</v>
      </c>
      <c r="J821" t="s">
        <v>23</v>
      </c>
      <c r="K821" t="s">
        <v>32</v>
      </c>
      <c r="L821">
        <v>30</v>
      </c>
      <c r="M821" t="str">
        <f t="shared" si="12"/>
        <v>25–30</v>
      </c>
      <c r="N821" t="s">
        <v>18</v>
      </c>
    </row>
    <row r="822" spans="1:14" x14ac:dyDescent="0.25">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39</v>
      </c>
      <c r="D830" s="3">
        <v>40000</v>
      </c>
      <c r="E830">
        <v>0</v>
      </c>
      <c r="F830" t="s">
        <v>29</v>
      </c>
      <c r="G830" t="s">
        <v>20</v>
      </c>
      <c r="H830" t="s">
        <v>15</v>
      </c>
      <c r="I830">
        <v>2</v>
      </c>
      <c r="J830" t="s">
        <v>23</v>
      </c>
      <c r="K830" t="s">
        <v>32</v>
      </c>
      <c r="L830">
        <v>26</v>
      </c>
      <c r="M830" t="str">
        <f t="shared" si="12"/>
        <v>25–30</v>
      </c>
      <c r="N830" t="s">
        <v>18</v>
      </c>
    </row>
    <row r="831" spans="1:14" x14ac:dyDescent="0.25">
      <c r="A831">
        <v>16009</v>
      </c>
      <c r="B831" t="s">
        <v>38</v>
      </c>
      <c r="C831" t="s">
        <v>40</v>
      </c>
      <c r="D831" s="3">
        <v>170000</v>
      </c>
      <c r="E831">
        <v>1</v>
      </c>
      <c r="F831" t="s">
        <v>31</v>
      </c>
      <c r="G831" t="s">
        <v>28</v>
      </c>
      <c r="H831" t="s">
        <v>18</v>
      </c>
      <c r="I831">
        <v>4</v>
      </c>
      <c r="J831" t="s">
        <v>16</v>
      </c>
      <c r="K831" t="s">
        <v>32</v>
      </c>
      <c r="L831">
        <v>66</v>
      </c>
      <c r="M831" t="str">
        <f t="shared" si="12"/>
        <v>55+</v>
      </c>
      <c r="N831" t="s">
        <v>18</v>
      </c>
    </row>
    <row r="832" spans="1:14" x14ac:dyDescent="0.25">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39</v>
      </c>
      <c r="D835" s="3">
        <v>70000</v>
      </c>
      <c r="E835">
        <v>0</v>
      </c>
      <c r="F835" t="s">
        <v>13</v>
      </c>
      <c r="G835" t="s">
        <v>21</v>
      </c>
      <c r="H835" t="s">
        <v>18</v>
      </c>
      <c r="I835">
        <v>1</v>
      </c>
      <c r="J835" t="s">
        <v>16</v>
      </c>
      <c r="K835" t="s">
        <v>32</v>
      </c>
      <c r="L835">
        <v>37</v>
      </c>
      <c r="M835" t="str">
        <f t="shared" ref="M835:M898" si="13">IF(L835&gt;54,"55+",IF(L835&gt;=31,"Middle Age",IF(L835&lt;31,"25–30","Invalid")))</f>
        <v>Middle Age</v>
      </c>
      <c r="N835" t="s">
        <v>15</v>
      </c>
    </row>
    <row r="836" spans="1:14" x14ac:dyDescent="0.2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25–30</v>
      </c>
      <c r="N838" t="s">
        <v>18</v>
      </c>
    </row>
    <row r="839" spans="1:14" x14ac:dyDescent="0.25">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40</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37</v>
      </c>
      <c r="C843" t="s">
        <v>40</v>
      </c>
      <c r="D843" s="3">
        <v>120000</v>
      </c>
      <c r="E843">
        <v>2</v>
      </c>
      <c r="F843" t="s">
        <v>31</v>
      </c>
      <c r="G843" t="s">
        <v>28</v>
      </c>
      <c r="H843" t="s">
        <v>15</v>
      </c>
      <c r="I843">
        <v>3</v>
      </c>
      <c r="J843" t="s">
        <v>23</v>
      </c>
      <c r="K843" t="s">
        <v>32</v>
      </c>
      <c r="L843">
        <v>64</v>
      </c>
      <c r="M843" t="str">
        <f t="shared" si="13"/>
        <v>55+</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3">
        <v>40000</v>
      </c>
      <c r="E846">
        <v>5</v>
      </c>
      <c r="F846" t="s">
        <v>27</v>
      </c>
      <c r="G846" t="s">
        <v>21</v>
      </c>
      <c r="H846" t="s">
        <v>15</v>
      </c>
      <c r="I846">
        <v>2</v>
      </c>
      <c r="J846" t="s">
        <v>47</v>
      </c>
      <c r="K846" t="s">
        <v>32</v>
      </c>
      <c r="L846">
        <v>60</v>
      </c>
      <c r="M846" t="str">
        <f t="shared" si="13"/>
        <v>55+</v>
      </c>
      <c r="N846" t="s">
        <v>18</v>
      </c>
    </row>
    <row r="847" spans="1:14" x14ac:dyDescent="0.2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55+</v>
      </c>
      <c r="N848" t="s">
        <v>18</v>
      </c>
    </row>
    <row r="849" spans="1:14" x14ac:dyDescent="0.25">
      <c r="A849">
        <v>17482</v>
      </c>
      <c r="B849" t="s">
        <v>38</v>
      </c>
      <c r="C849" t="s">
        <v>39</v>
      </c>
      <c r="D849" s="3">
        <v>40000</v>
      </c>
      <c r="E849">
        <v>0</v>
      </c>
      <c r="F849" t="s">
        <v>29</v>
      </c>
      <c r="G849" t="s">
        <v>20</v>
      </c>
      <c r="H849" t="s">
        <v>15</v>
      </c>
      <c r="I849">
        <v>2</v>
      </c>
      <c r="J849" t="s">
        <v>23</v>
      </c>
      <c r="K849" t="s">
        <v>32</v>
      </c>
      <c r="L849">
        <v>29</v>
      </c>
      <c r="M849" t="str">
        <f t="shared" si="13"/>
        <v>25–30</v>
      </c>
      <c r="N849" t="s">
        <v>18</v>
      </c>
    </row>
    <row r="850" spans="1:14" x14ac:dyDescent="0.25">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55+</v>
      </c>
      <c r="N851" t="s">
        <v>18</v>
      </c>
    </row>
    <row r="852" spans="1:14" x14ac:dyDescent="0.25">
      <c r="A852">
        <v>12205</v>
      </c>
      <c r="B852" t="s">
        <v>38</v>
      </c>
      <c r="C852" t="s">
        <v>39</v>
      </c>
      <c r="D852" s="3">
        <v>130000</v>
      </c>
      <c r="E852">
        <v>2</v>
      </c>
      <c r="F852" t="s">
        <v>13</v>
      </c>
      <c r="G852" t="s">
        <v>28</v>
      </c>
      <c r="H852" t="s">
        <v>18</v>
      </c>
      <c r="I852">
        <v>4</v>
      </c>
      <c r="J852" t="s">
        <v>16</v>
      </c>
      <c r="K852" t="s">
        <v>32</v>
      </c>
      <c r="L852">
        <v>67</v>
      </c>
      <c r="M852" t="str">
        <f t="shared" si="13"/>
        <v>55+</v>
      </c>
      <c r="N852" t="s">
        <v>18</v>
      </c>
    </row>
    <row r="853" spans="1:14" x14ac:dyDescent="0.25">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40</v>
      </c>
      <c r="D858" s="3">
        <v>40000</v>
      </c>
      <c r="E858">
        <v>0</v>
      </c>
      <c r="F858" t="s">
        <v>19</v>
      </c>
      <c r="G858" t="s">
        <v>14</v>
      </c>
      <c r="H858" t="s">
        <v>15</v>
      </c>
      <c r="I858">
        <v>1</v>
      </c>
      <c r="J858" t="s">
        <v>23</v>
      </c>
      <c r="K858" t="s">
        <v>32</v>
      </c>
      <c r="L858">
        <v>27</v>
      </c>
      <c r="M858" t="str">
        <f t="shared" si="13"/>
        <v>25–30</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40</v>
      </c>
      <c r="D868" s="3">
        <v>60000</v>
      </c>
      <c r="E868">
        <v>2</v>
      </c>
      <c r="F868" t="s">
        <v>27</v>
      </c>
      <c r="G868" t="s">
        <v>21</v>
      </c>
      <c r="H868" t="s">
        <v>15</v>
      </c>
      <c r="I868">
        <v>2</v>
      </c>
      <c r="J868" t="s">
        <v>47</v>
      </c>
      <c r="K868" t="s">
        <v>32</v>
      </c>
      <c r="L868">
        <v>55</v>
      </c>
      <c r="M868" t="str">
        <f t="shared" si="13"/>
        <v>55+</v>
      </c>
      <c r="N868" t="s">
        <v>18</v>
      </c>
    </row>
    <row r="869" spans="1:14" x14ac:dyDescent="0.25">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40</v>
      </c>
      <c r="D870" s="3">
        <v>30000</v>
      </c>
      <c r="E870">
        <v>5</v>
      </c>
      <c r="F870" t="s">
        <v>29</v>
      </c>
      <c r="G870" t="s">
        <v>14</v>
      </c>
      <c r="H870" t="s">
        <v>15</v>
      </c>
      <c r="I870">
        <v>3</v>
      </c>
      <c r="J870" t="s">
        <v>47</v>
      </c>
      <c r="K870" t="s">
        <v>32</v>
      </c>
      <c r="L870">
        <v>60</v>
      </c>
      <c r="M870" t="str">
        <f t="shared" si="13"/>
        <v>55+</v>
      </c>
      <c r="N870" t="s">
        <v>15</v>
      </c>
    </row>
    <row r="871" spans="1:14" x14ac:dyDescent="0.2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40</v>
      </c>
      <c r="D873" s="3">
        <v>60000</v>
      </c>
      <c r="E873">
        <v>2</v>
      </c>
      <c r="F873" t="s">
        <v>27</v>
      </c>
      <c r="G873" t="s">
        <v>21</v>
      </c>
      <c r="H873" t="s">
        <v>15</v>
      </c>
      <c r="I873">
        <v>2</v>
      </c>
      <c r="J873" t="s">
        <v>47</v>
      </c>
      <c r="K873" t="s">
        <v>32</v>
      </c>
      <c r="L873">
        <v>55</v>
      </c>
      <c r="M873" t="str">
        <f t="shared" si="13"/>
        <v>55+</v>
      </c>
      <c r="N873" t="s">
        <v>18</v>
      </c>
    </row>
    <row r="874" spans="1:14" x14ac:dyDescent="0.2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40</v>
      </c>
      <c r="D878" s="3">
        <v>30000</v>
      </c>
      <c r="E878">
        <v>0</v>
      </c>
      <c r="F878" t="s">
        <v>29</v>
      </c>
      <c r="G878" t="s">
        <v>20</v>
      </c>
      <c r="H878" t="s">
        <v>18</v>
      </c>
      <c r="I878">
        <v>2</v>
      </c>
      <c r="J878" t="s">
        <v>16</v>
      </c>
      <c r="K878" t="s">
        <v>32</v>
      </c>
      <c r="L878">
        <v>26</v>
      </c>
      <c r="M878" t="str">
        <f t="shared" si="13"/>
        <v>25–30</v>
      </c>
      <c r="N878" t="s">
        <v>18</v>
      </c>
    </row>
    <row r="879" spans="1:14" x14ac:dyDescent="0.25">
      <c r="A879">
        <v>15879</v>
      </c>
      <c r="B879" t="s">
        <v>37</v>
      </c>
      <c r="C879" t="s">
        <v>40</v>
      </c>
      <c r="D879" s="3">
        <v>70000</v>
      </c>
      <c r="E879">
        <v>5</v>
      </c>
      <c r="F879" t="s">
        <v>13</v>
      </c>
      <c r="G879" t="s">
        <v>28</v>
      </c>
      <c r="H879" t="s">
        <v>15</v>
      </c>
      <c r="I879">
        <v>2</v>
      </c>
      <c r="J879" t="s">
        <v>22</v>
      </c>
      <c r="K879" t="s">
        <v>32</v>
      </c>
      <c r="L879">
        <v>61</v>
      </c>
      <c r="M879" t="str">
        <f t="shared" si="13"/>
        <v>55+</v>
      </c>
      <c r="N879" t="s">
        <v>18</v>
      </c>
    </row>
    <row r="880" spans="1:14" x14ac:dyDescent="0.25">
      <c r="A880">
        <v>28278</v>
      </c>
      <c r="B880" t="s">
        <v>37</v>
      </c>
      <c r="C880" t="s">
        <v>40</v>
      </c>
      <c r="D880" s="3">
        <v>50000</v>
      </c>
      <c r="E880">
        <v>2</v>
      </c>
      <c r="F880" t="s">
        <v>31</v>
      </c>
      <c r="G880" t="s">
        <v>28</v>
      </c>
      <c r="H880" t="s">
        <v>15</v>
      </c>
      <c r="I880">
        <v>2</v>
      </c>
      <c r="J880" t="s">
        <v>23</v>
      </c>
      <c r="K880" t="s">
        <v>32</v>
      </c>
      <c r="L880">
        <v>71</v>
      </c>
      <c r="M880" t="str">
        <f t="shared" si="13"/>
        <v>55+</v>
      </c>
      <c r="N880" t="s">
        <v>18</v>
      </c>
    </row>
    <row r="881" spans="1:14" x14ac:dyDescent="0.25">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55+</v>
      </c>
      <c r="N883" t="s">
        <v>15</v>
      </c>
    </row>
    <row r="884" spans="1:14" x14ac:dyDescent="0.25">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40</v>
      </c>
      <c r="D886" s="3">
        <v>80000</v>
      </c>
      <c r="E886">
        <v>4</v>
      </c>
      <c r="F886" t="s">
        <v>31</v>
      </c>
      <c r="G886" t="s">
        <v>28</v>
      </c>
      <c r="H886" t="s">
        <v>15</v>
      </c>
      <c r="I886">
        <v>2</v>
      </c>
      <c r="J886" t="s">
        <v>23</v>
      </c>
      <c r="K886" t="s">
        <v>32</v>
      </c>
      <c r="L886">
        <v>68</v>
      </c>
      <c r="M886" t="str">
        <f t="shared" si="13"/>
        <v>55+</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40</v>
      </c>
      <c r="D893" s="3">
        <v>100000</v>
      </c>
      <c r="E893">
        <v>1</v>
      </c>
      <c r="F893" t="s">
        <v>31</v>
      </c>
      <c r="G893" t="s">
        <v>28</v>
      </c>
      <c r="H893" t="s">
        <v>15</v>
      </c>
      <c r="I893">
        <v>3</v>
      </c>
      <c r="J893" t="s">
        <v>22</v>
      </c>
      <c r="K893" t="s">
        <v>32</v>
      </c>
      <c r="L893">
        <v>73</v>
      </c>
      <c r="M893" t="str">
        <f t="shared" si="13"/>
        <v>55+</v>
      </c>
      <c r="N893" t="s">
        <v>15</v>
      </c>
    </row>
    <row r="894" spans="1:14" x14ac:dyDescent="0.2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55+</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40</v>
      </c>
      <c r="D899" s="3">
        <v>30000</v>
      </c>
      <c r="E899">
        <v>0</v>
      </c>
      <c r="F899" t="s">
        <v>29</v>
      </c>
      <c r="G899" t="s">
        <v>20</v>
      </c>
      <c r="H899" t="s">
        <v>18</v>
      </c>
      <c r="I899">
        <v>2</v>
      </c>
      <c r="J899" t="s">
        <v>16</v>
      </c>
      <c r="K899" t="s">
        <v>32</v>
      </c>
      <c r="L899">
        <v>28</v>
      </c>
      <c r="M899" t="str">
        <f t="shared" ref="M899:M962" si="14">IF(L899&gt;54,"55+",IF(L899&gt;=31,"Middle Age",IF(L899&lt;31,"25–30","Invalid")))</f>
        <v>25–30</v>
      </c>
      <c r="N899" t="s">
        <v>18</v>
      </c>
    </row>
    <row r="900" spans="1:14" x14ac:dyDescent="0.25">
      <c r="A900">
        <v>18066</v>
      </c>
      <c r="B900" t="s">
        <v>38</v>
      </c>
      <c r="C900" t="s">
        <v>40</v>
      </c>
      <c r="D900" s="3">
        <v>70000</v>
      </c>
      <c r="E900">
        <v>5</v>
      </c>
      <c r="F900" t="s">
        <v>13</v>
      </c>
      <c r="G900" t="s">
        <v>28</v>
      </c>
      <c r="H900" t="s">
        <v>15</v>
      </c>
      <c r="I900">
        <v>3</v>
      </c>
      <c r="J900" t="s">
        <v>47</v>
      </c>
      <c r="K900" t="s">
        <v>32</v>
      </c>
      <c r="L900">
        <v>60</v>
      </c>
      <c r="M900" t="str">
        <f t="shared" si="14"/>
        <v>55+</v>
      </c>
      <c r="N900" t="s">
        <v>15</v>
      </c>
    </row>
    <row r="901" spans="1:14" x14ac:dyDescent="0.25">
      <c r="A901">
        <v>28192</v>
      </c>
      <c r="B901" t="s">
        <v>37</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40</v>
      </c>
      <c r="D905" s="3">
        <v>90000</v>
      </c>
      <c r="E905">
        <v>4</v>
      </c>
      <c r="F905" t="s">
        <v>31</v>
      </c>
      <c r="G905" t="s">
        <v>28</v>
      </c>
      <c r="H905" t="s">
        <v>15</v>
      </c>
      <c r="I905">
        <v>1</v>
      </c>
      <c r="J905" t="s">
        <v>23</v>
      </c>
      <c r="K905" t="s">
        <v>32</v>
      </c>
      <c r="L905">
        <v>73</v>
      </c>
      <c r="M905" t="str">
        <f t="shared" si="14"/>
        <v>55+</v>
      </c>
      <c r="N905" t="s">
        <v>18</v>
      </c>
    </row>
    <row r="906" spans="1:14" x14ac:dyDescent="0.2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40</v>
      </c>
      <c r="D909" s="3">
        <v>50000</v>
      </c>
      <c r="E909">
        <v>4</v>
      </c>
      <c r="F909" t="s">
        <v>13</v>
      </c>
      <c r="G909" t="s">
        <v>28</v>
      </c>
      <c r="H909" t="s">
        <v>15</v>
      </c>
      <c r="I909">
        <v>2</v>
      </c>
      <c r="J909" t="s">
        <v>47</v>
      </c>
      <c r="K909" t="s">
        <v>32</v>
      </c>
      <c r="L909">
        <v>63</v>
      </c>
      <c r="M909" t="str">
        <f t="shared" si="14"/>
        <v>55+</v>
      </c>
      <c r="N909" t="s">
        <v>18</v>
      </c>
    </row>
    <row r="910" spans="1:14" x14ac:dyDescent="0.25">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55+</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40</v>
      </c>
      <c r="D917" s="3">
        <v>60000</v>
      </c>
      <c r="E917">
        <v>3</v>
      </c>
      <c r="F917" t="s">
        <v>31</v>
      </c>
      <c r="G917" t="s">
        <v>28</v>
      </c>
      <c r="H917" t="s">
        <v>15</v>
      </c>
      <c r="I917">
        <v>2</v>
      </c>
      <c r="J917" t="s">
        <v>47</v>
      </c>
      <c r="K917" t="s">
        <v>32</v>
      </c>
      <c r="L917">
        <v>64</v>
      </c>
      <c r="M917" t="str">
        <f t="shared" si="14"/>
        <v>55+</v>
      </c>
      <c r="N917" t="s">
        <v>18</v>
      </c>
    </row>
    <row r="918" spans="1:14" x14ac:dyDescent="0.25">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3">
        <v>40000</v>
      </c>
      <c r="E921">
        <v>4</v>
      </c>
      <c r="F921" t="s">
        <v>27</v>
      </c>
      <c r="G921" t="s">
        <v>21</v>
      </c>
      <c r="H921" t="s">
        <v>15</v>
      </c>
      <c r="I921">
        <v>2</v>
      </c>
      <c r="J921" t="s">
        <v>47</v>
      </c>
      <c r="K921" t="s">
        <v>32</v>
      </c>
      <c r="L921">
        <v>61</v>
      </c>
      <c r="M921" t="str">
        <f t="shared" si="14"/>
        <v>55+</v>
      </c>
      <c r="N921" t="s">
        <v>18</v>
      </c>
    </row>
    <row r="922" spans="1:14" x14ac:dyDescent="0.25">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39</v>
      </c>
      <c r="D928" s="3">
        <v>40000</v>
      </c>
      <c r="E928">
        <v>2</v>
      </c>
      <c r="F928" t="s">
        <v>27</v>
      </c>
      <c r="G928" t="s">
        <v>21</v>
      </c>
      <c r="H928" t="s">
        <v>15</v>
      </c>
      <c r="I928">
        <v>2</v>
      </c>
      <c r="J928" t="s">
        <v>47</v>
      </c>
      <c r="K928" t="s">
        <v>32</v>
      </c>
      <c r="L928">
        <v>57</v>
      </c>
      <c r="M928" t="str">
        <f t="shared" si="14"/>
        <v>55+</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40</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39</v>
      </c>
      <c r="D934" s="3">
        <v>40000</v>
      </c>
      <c r="E934">
        <v>0</v>
      </c>
      <c r="F934" t="s">
        <v>27</v>
      </c>
      <c r="G934" t="s">
        <v>14</v>
      </c>
      <c r="H934" t="s">
        <v>18</v>
      </c>
      <c r="I934">
        <v>2</v>
      </c>
      <c r="J934" t="s">
        <v>16</v>
      </c>
      <c r="K934" t="s">
        <v>32</v>
      </c>
      <c r="L934">
        <v>27</v>
      </c>
      <c r="M934" t="str">
        <f t="shared" si="14"/>
        <v>25–30</v>
      </c>
      <c r="N934" t="s">
        <v>15</v>
      </c>
    </row>
    <row r="935" spans="1:14" x14ac:dyDescent="0.25">
      <c r="A935">
        <v>11941</v>
      </c>
      <c r="B935" t="s">
        <v>38</v>
      </c>
      <c r="C935" t="s">
        <v>40</v>
      </c>
      <c r="D935" s="3">
        <v>60000</v>
      </c>
      <c r="E935">
        <v>0</v>
      </c>
      <c r="F935" t="s">
        <v>19</v>
      </c>
      <c r="G935" t="s">
        <v>14</v>
      </c>
      <c r="H935" t="s">
        <v>15</v>
      </c>
      <c r="I935">
        <v>0</v>
      </c>
      <c r="J935" t="s">
        <v>23</v>
      </c>
      <c r="K935" t="s">
        <v>32</v>
      </c>
      <c r="L935">
        <v>29</v>
      </c>
      <c r="M935" t="str">
        <f t="shared" si="14"/>
        <v>25–30</v>
      </c>
      <c r="N935" t="s">
        <v>18</v>
      </c>
    </row>
    <row r="936" spans="1:14" x14ac:dyDescent="0.25">
      <c r="A936">
        <v>14389</v>
      </c>
      <c r="B936" t="s">
        <v>37</v>
      </c>
      <c r="C936" t="s">
        <v>40</v>
      </c>
      <c r="D936" s="3">
        <v>60000</v>
      </c>
      <c r="E936">
        <v>2</v>
      </c>
      <c r="F936" t="s">
        <v>13</v>
      </c>
      <c r="G936" t="s">
        <v>28</v>
      </c>
      <c r="H936" t="s">
        <v>15</v>
      </c>
      <c r="I936">
        <v>0</v>
      </c>
      <c r="J936" t="s">
        <v>22</v>
      </c>
      <c r="K936" t="s">
        <v>32</v>
      </c>
      <c r="L936">
        <v>59</v>
      </c>
      <c r="M936" t="str">
        <f t="shared" si="14"/>
        <v>55+</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55+</v>
      </c>
      <c r="N938" t="s">
        <v>18</v>
      </c>
    </row>
    <row r="939" spans="1:14" x14ac:dyDescent="0.25">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25–30</v>
      </c>
      <c r="N940" t="s">
        <v>18</v>
      </c>
    </row>
    <row r="941" spans="1:14" x14ac:dyDescent="0.25">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55+</v>
      </c>
      <c r="N948" t="s">
        <v>15</v>
      </c>
    </row>
    <row r="949" spans="1:14" x14ac:dyDescent="0.2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40</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55+</v>
      </c>
      <c r="N954" t="s">
        <v>18</v>
      </c>
    </row>
    <row r="955" spans="1:14" x14ac:dyDescent="0.25">
      <c r="A955">
        <v>17654</v>
      </c>
      <c r="B955" t="s">
        <v>38</v>
      </c>
      <c r="C955" t="s">
        <v>39</v>
      </c>
      <c r="D955" s="3">
        <v>40000</v>
      </c>
      <c r="E955">
        <v>3</v>
      </c>
      <c r="F955" t="s">
        <v>19</v>
      </c>
      <c r="G955" t="s">
        <v>20</v>
      </c>
      <c r="H955" t="s">
        <v>15</v>
      </c>
      <c r="I955">
        <v>1</v>
      </c>
      <c r="J955" t="s">
        <v>26</v>
      </c>
      <c r="K955" t="s">
        <v>32</v>
      </c>
      <c r="L955">
        <v>30</v>
      </c>
      <c r="M955" t="str">
        <f t="shared" si="14"/>
        <v>25–30</v>
      </c>
      <c r="N955" t="s">
        <v>15</v>
      </c>
    </row>
    <row r="956" spans="1:14" x14ac:dyDescent="0.25">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25–30</v>
      </c>
      <c r="N959" t="s">
        <v>18</v>
      </c>
    </row>
    <row r="960" spans="1:14" x14ac:dyDescent="0.25">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ref="M963:M1001" si="15">IF(L963&gt;54,"55+",IF(L963&gt;=31,"Middle Age",IF(L963&lt;31,"25–30","Invalid")))</f>
        <v>55+</v>
      </c>
      <c r="N963" t="s">
        <v>18</v>
      </c>
    </row>
    <row r="964" spans="1:14" x14ac:dyDescent="0.25">
      <c r="A964">
        <v>16813</v>
      </c>
      <c r="B964" t="s">
        <v>37</v>
      </c>
      <c r="C964" t="s">
        <v>40</v>
      </c>
      <c r="D964" s="3">
        <v>60000</v>
      </c>
      <c r="E964">
        <v>2</v>
      </c>
      <c r="F964" t="s">
        <v>19</v>
      </c>
      <c r="G964" t="s">
        <v>21</v>
      </c>
      <c r="H964" t="s">
        <v>15</v>
      </c>
      <c r="I964">
        <v>2</v>
      </c>
      <c r="J964" t="s">
        <v>47</v>
      </c>
      <c r="K964" t="s">
        <v>32</v>
      </c>
      <c r="L964">
        <v>55</v>
      </c>
      <c r="M964" t="str">
        <f t="shared" si="15"/>
        <v>55+</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55+</v>
      </c>
      <c r="N965" t="s">
        <v>15</v>
      </c>
    </row>
    <row r="966" spans="1:14" x14ac:dyDescent="0.25">
      <c r="A966">
        <v>27434</v>
      </c>
      <c r="B966" t="s">
        <v>38</v>
      </c>
      <c r="C966" t="s">
        <v>40</v>
      </c>
      <c r="D966" s="3">
        <v>70000</v>
      </c>
      <c r="E966">
        <v>4</v>
      </c>
      <c r="F966" t="s">
        <v>19</v>
      </c>
      <c r="G966" t="s">
        <v>21</v>
      </c>
      <c r="H966" t="s">
        <v>15</v>
      </c>
      <c r="I966">
        <v>1</v>
      </c>
      <c r="J966" t="s">
        <v>47</v>
      </c>
      <c r="K966" t="s">
        <v>32</v>
      </c>
      <c r="L966">
        <v>56</v>
      </c>
      <c r="M966" t="str">
        <f t="shared" si="15"/>
        <v>55+</v>
      </c>
      <c r="N966" t="s">
        <v>18</v>
      </c>
    </row>
    <row r="967" spans="1:14" x14ac:dyDescent="0.2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40</v>
      </c>
      <c r="D969" s="3">
        <v>80000</v>
      </c>
      <c r="E969">
        <v>3</v>
      </c>
      <c r="F969" t="s">
        <v>13</v>
      </c>
      <c r="G969" t="s">
        <v>28</v>
      </c>
      <c r="H969" t="s">
        <v>15</v>
      </c>
      <c r="I969">
        <v>1</v>
      </c>
      <c r="J969" t="s">
        <v>26</v>
      </c>
      <c r="K969" t="s">
        <v>32</v>
      </c>
      <c r="L969">
        <v>56</v>
      </c>
      <c r="M969" t="str">
        <f t="shared" si="15"/>
        <v>55+</v>
      </c>
      <c r="N969" t="s">
        <v>18</v>
      </c>
    </row>
    <row r="970" spans="1:14" x14ac:dyDescent="0.25">
      <c r="A970">
        <v>18329</v>
      </c>
      <c r="B970" t="s">
        <v>38</v>
      </c>
      <c r="C970" t="s">
        <v>40</v>
      </c>
      <c r="D970" s="3">
        <v>30000</v>
      </c>
      <c r="E970">
        <v>0</v>
      </c>
      <c r="F970" t="s">
        <v>29</v>
      </c>
      <c r="G970" t="s">
        <v>20</v>
      </c>
      <c r="H970" t="s">
        <v>18</v>
      </c>
      <c r="I970">
        <v>2</v>
      </c>
      <c r="J970" t="s">
        <v>23</v>
      </c>
      <c r="K970" t="s">
        <v>32</v>
      </c>
      <c r="L970">
        <v>27</v>
      </c>
      <c r="M970" t="str">
        <f t="shared" si="15"/>
        <v>25–30</v>
      </c>
      <c r="N970" t="s">
        <v>18</v>
      </c>
    </row>
    <row r="971" spans="1:14" x14ac:dyDescent="0.25">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3">
        <v>60000</v>
      </c>
      <c r="E978">
        <v>3</v>
      </c>
      <c r="F978" t="s">
        <v>13</v>
      </c>
      <c r="G978" t="s">
        <v>28</v>
      </c>
      <c r="H978" t="s">
        <v>15</v>
      </c>
      <c r="I978">
        <v>2</v>
      </c>
      <c r="J978" t="s">
        <v>47</v>
      </c>
      <c r="K978" t="s">
        <v>32</v>
      </c>
      <c r="L978">
        <v>66</v>
      </c>
      <c r="M978" t="str">
        <f t="shared" si="15"/>
        <v>55+</v>
      </c>
      <c r="N978" t="s">
        <v>18</v>
      </c>
    </row>
    <row r="979" spans="1:14" x14ac:dyDescent="0.25">
      <c r="A979">
        <v>19741</v>
      </c>
      <c r="B979" t="s">
        <v>38</v>
      </c>
      <c r="C979" t="s">
        <v>39</v>
      </c>
      <c r="D979" s="3">
        <v>80000</v>
      </c>
      <c r="E979">
        <v>4</v>
      </c>
      <c r="F979" t="s">
        <v>31</v>
      </c>
      <c r="G979" t="s">
        <v>28</v>
      </c>
      <c r="H979" t="s">
        <v>15</v>
      </c>
      <c r="I979">
        <v>2</v>
      </c>
      <c r="J979" t="s">
        <v>23</v>
      </c>
      <c r="K979" t="s">
        <v>32</v>
      </c>
      <c r="L979">
        <v>65</v>
      </c>
      <c r="M979" t="str">
        <f t="shared" si="15"/>
        <v>55+</v>
      </c>
      <c r="N979" t="s">
        <v>18</v>
      </c>
    </row>
    <row r="980" spans="1:14" x14ac:dyDescent="0.25">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40</v>
      </c>
      <c r="D988" s="3">
        <v>40000</v>
      </c>
      <c r="E988">
        <v>5</v>
      </c>
      <c r="F988" t="s">
        <v>27</v>
      </c>
      <c r="G988" t="s">
        <v>21</v>
      </c>
      <c r="H988" t="s">
        <v>15</v>
      </c>
      <c r="I988">
        <v>4</v>
      </c>
      <c r="J988" t="s">
        <v>47</v>
      </c>
      <c r="K988" t="s">
        <v>32</v>
      </c>
      <c r="L988">
        <v>60</v>
      </c>
      <c r="M988" t="str">
        <f t="shared" si="15"/>
        <v>55+</v>
      </c>
      <c r="N988" t="s">
        <v>15</v>
      </c>
    </row>
    <row r="989" spans="1:14" x14ac:dyDescent="0.25">
      <c r="A989">
        <v>28972</v>
      </c>
      <c r="B989" t="s">
        <v>38</v>
      </c>
      <c r="C989" t="s">
        <v>39</v>
      </c>
      <c r="D989" s="3">
        <v>60000</v>
      </c>
      <c r="E989">
        <v>3</v>
      </c>
      <c r="F989" t="s">
        <v>31</v>
      </c>
      <c r="G989" t="s">
        <v>28</v>
      </c>
      <c r="H989" t="s">
        <v>15</v>
      </c>
      <c r="I989">
        <v>2</v>
      </c>
      <c r="J989" t="s">
        <v>47</v>
      </c>
      <c r="K989" t="s">
        <v>32</v>
      </c>
      <c r="L989">
        <v>66</v>
      </c>
      <c r="M989" t="str">
        <f t="shared" si="15"/>
        <v>55+</v>
      </c>
      <c r="N989" t="s">
        <v>18</v>
      </c>
    </row>
    <row r="990" spans="1:14" x14ac:dyDescent="0.25">
      <c r="A990">
        <v>22730</v>
      </c>
      <c r="B990" t="s">
        <v>37</v>
      </c>
      <c r="C990" t="s">
        <v>40</v>
      </c>
      <c r="D990" s="3">
        <v>70000</v>
      </c>
      <c r="E990">
        <v>5</v>
      </c>
      <c r="F990" t="s">
        <v>13</v>
      </c>
      <c r="G990" t="s">
        <v>28</v>
      </c>
      <c r="H990" t="s">
        <v>15</v>
      </c>
      <c r="I990">
        <v>2</v>
      </c>
      <c r="J990" t="s">
        <v>47</v>
      </c>
      <c r="K990" t="s">
        <v>32</v>
      </c>
      <c r="L990">
        <v>63</v>
      </c>
      <c r="M990" t="str">
        <f t="shared" si="15"/>
        <v>55+</v>
      </c>
      <c r="N990" t="s">
        <v>18</v>
      </c>
    </row>
    <row r="991" spans="1:14" x14ac:dyDescent="0.25">
      <c r="A991">
        <v>29134</v>
      </c>
      <c r="B991" t="s">
        <v>37</v>
      </c>
      <c r="C991" t="s">
        <v>40</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38</v>
      </c>
      <c r="C992" t="s">
        <v>39</v>
      </c>
      <c r="D992" s="3">
        <v>30000</v>
      </c>
      <c r="E992">
        <v>0</v>
      </c>
      <c r="F992" t="s">
        <v>27</v>
      </c>
      <c r="G992" t="s">
        <v>14</v>
      </c>
      <c r="H992" t="s">
        <v>18</v>
      </c>
      <c r="I992">
        <v>2</v>
      </c>
      <c r="J992" t="s">
        <v>23</v>
      </c>
      <c r="K992" t="s">
        <v>32</v>
      </c>
      <c r="L992">
        <v>26</v>
      </c>
      <c r="M992" t="str">
        <f t="shared" si="15"/>
        <v>25–30</v>
      </c>
      <c r="N992" t="s">
        <v>18</v>
      </c>
    </row>
    <row r="993" spans="1:14" x14ac:dyDescent="0.2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40</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Thabo Dylan Mncube</cp:lastModifiedBy>
  <dcterms:created xsi:type="dcterms:W3CDTF">2022-03-18T02:50:57Z</dcterms:created>
  <dcterms:modified xsi:type="dcterms:W3CDTF">2026-08-01T18:28:00Z</dcterms:modified>
</cp:coreProperties>
</file>